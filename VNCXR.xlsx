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inityairways\Desktop\"/>
    </mc:Choice>
  </mc:AlternateContent>
  <xr:revisionPtr revIDLastSave="0" documentId="13_ncr:1_{119CA929-E7F0-41A7-9D96-FAD73356185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 a="1"/>
  <c r="J3" i="1" s="1"/>
  <c r="J4" i="1" a="1"/>
  <c r="J4" i="1" s="1"/>
  <c r="J5" i="1" a="1"/>
  <c r="J5" i="1"/>
  <c r="J6" i="1" a="1"/>
  <c r="J6" i="1"/>
  <c r="J7" i="1" a="1"/>
  <c r="J7" i="1"/>
  <c r="J8" i="1" a="1"/>
  <c r="J8" i="1"/>
  <c r="J9" i="1" a="1"/>
  <c r="J9" i="1" s="1"/>
  <c r="J10" i="1" a="1"/>
  <c r="J10" i="1"/>
  <c r="J11" i="1" a="1"/>
  <c r="J11" i="1"/>
  <c r="J12" i="1" a="1"/>
  <c r="J12" i="1" s="1"/>
  <c r="J13" i="1" a="1"/>
  <c r="J13" i="1"/>
  <c r="J14" i="1" a="1"/>
  <c r="J14" i="1"/>
  <c r="J15" i="1" a="1"/>
  <c r="J15" i="1" s="1"/>
  <c r="J16" i="1" a="1"/>
  <c r="J16" i="1" s="1"/>
  <c r="J17" i="1" a="1"/>
  <c r="J17" i="1"/>
  <c r="J18" i="1" a="1"/>
  <c r="J18" i="1"/>
  <c r="J19" i="1" a="1"/>
  <c r="J19" i="1" s="1"/>
  <c r="J20" i="1" a="1"/>
  <c r="J20" i="1" s="1"/>
  <c r="J21" i="1" a="1"/>
  <c r="J21" i="1" s="1"/>
  <c r="J22" i="1" a="1"/>
  <c r="J22" i="1"/>
  <c r="J23" i="1" a="1"/>
  <c r="J23" i="1"/>
  <c r="J24" i="1" a="1"/>
  <c r="J24" i="1"/>
  <c r="J25" i="1" a="1"/>
  <c r="J25" i="1"/>
  <c r="J26" i="1" a="1"/>
  <c r="J26" i="1"/>
  <c r="J27" i="1" a="1"/>
  <c r="J27" i="1" s="1"/>
  <c r="J28" i="1" a="1"/>
  <c r="J28" i="1"/>
  <c r="J29" i="1" a="1"/>
  <c r="J29" i="1"/>
  <c r="J30" i="1" a="1"/>
  <c r="J30" i="1"/>
  <c r="J31" i="1" a="1"/>
  <c r="J31" i="1"/>
  <c r="J32" i="1" a="1"/>
  <c r="J32" i="1" s="1"/>
  <c r="J33" i="1" a="1"/>
  <c r="J33" i="1" s="1"/>
  <c r="J34" i="1" a="1"/>
  <c r="J34" i="1" s="1"/>
  <c r="J35" i="1" a="1"/>
  <c r="J35" i="1"/>
  <c r="J36" i="1" a="1"/>
  <c r="J36" i="1"/>
  <c r="J37" i="1" a="1"/>
  <c r="J37" i="1"/>
  <c r="J38" i="1" a="1"/>
  <c r="J38" i="1" s="1"/>
  <c r="J39" i="1" a="1"/>
  <c r="J39" i="1" s="1"/>
  <c r="J40" i="1" a="1"/>
  <c r="J40" i="1"/>
  <c r="J41" i="1" a="1"/>
  <c r="J41" i="1"/>
  <c r="J42" i="1" a="1"/>
  <c r="J42" i="1" s="1"/>
  <c r="J43" i="1" a="1"/>
  <c r="J43" i="1"/>
  <c r="J44" i="1" a="1"/>
  <c r="J44" i="1"/>
  <c r="J45" i="1" a="1"/>
  <c r="J45" i="1" s="1"/>
  <c r="J46" i="1" a="1"/>
  <c r="J46" i="1" s="1"/>
  <c r="J47" i="1" a="1"/>
  <c r="J47" i="1"/>
  <c r="J48" i="1" a="1"/>
  <c r="J48" i="1" s="1"/>
  <c r="J49" i="1" a="1"/>
  <c r="J49" i="1"/>
  <c r="J50" i="1" a="1"/>
  <c r="J50" i="1"/>
  <c r="J51" i="1" a="1"/>
  <c r="J51" i="1" s="1"/>
  <c r="J52" i="1" a="1"/>
  <c r="J52" i="1"/>
  <c r="J53" i="1" a="1"/>
  <c r="J53" i="1"/>
  <c r="J54" i="1" a="1"/>
  <c r="J54" i="1"/>
  <c r="J55" i="1" a="1"/>
  <c r="J55" i="1" s="1"/>
  <c r="J56" i="1" a="1"/>
  <c r="J56" i="1" s="1"/>
  <c r="J57" i="1" a="1"/>
  <c r="J57" i="1" s="1"/>
  <c r="J58" i="1" a="1"/>
  <c r="J58" i="1" s="1"/>
  <c r="J59" i="1" a="1"/>
  <c r="J59" i="1"/>
  <c r="J60" i="1" a="1"/>
  <c r="J60" i="1" s="1"/>
  <c r="J61" i="1" a="1"/>
  <c r="J61" i="1" s="1"/>
  <c r="J62" i="1" a="1"/>
  <c r="J62" i="1"/>
  <c r="J63" i="1" a="1"/>
  <c r="J63" i="1" s="1"/>
  <c r="J64" i="1" a="1"/>
  <c r="J64" i="1"/>
  <c r="J65" i="1" a="1"/>
  <c r="J65" i="1"/>
  <c r="J66" i="1" a="1"/>
  <c r="J66" i="1"/>
  <c r="J67" i="1" a="1"/>
  <c r="J67" i="1"/>
  <c r="J68" i="1" a="1"/>
  <c r="J68" i="1" s="1"/>
  <c r="J69" i="1" a="1"/>
  <c r="J69" i="1" s="1"/>
  <c r="J70" i="1" a="1"/>
  <c r="J70" i="1"/>
  <c r="J71" i="1" a="1"/>
  <c r="J71" i="1"/>
  <c r="J72" i="1" a="1"/>
  <c r="J72" i="1"/>
  <c r="J73" i="1" a="1"/>
  <c r="J73" i="1"/>
  <c r="J74" i="1" a="1"/>
  <c r="J74" i="1"/>
  <c r="J75" i="1" a="1"/>
  <c r="J75" i="1" s="1"/>
  <c r="J76" i="1" a="1"/>
  <c r="J76" i="1"/>
  <c r="J77" i="1" a="1"/>
  <c r="J77" i="1" s="1"/>
  <c r="J78" i="1" a="1"/>
  <c r="J78" i="1" s="1"/>
  <c r="J79" i="1" a="1"/>
  <c r="J79" i="1"/>
  <c r="J80" i="1" a="1"/>
  <c r="J80" i="1" s="1"/>
  <c r="J81" i="1" a="1"/>
  <c r="J81" i="1" s="1"/>
  <c r="J82" i="1" a="1"/>
  <c r="J82" i="1"/>
  <c r="J83" i="1" a="1"/>
  <c r="J83" i="1"/>
  <c r="J84" i="1" a="1"/>
  <c r="J84" i="1"/>
  <c r="J85" i="1" a="1"/>
  <c r="J85" i="1"/>
  <c r="J86" i="1" a="1"/>
  <c r="J86" i="1"/>
  <c r="J87" i="1" a="1"/>
  <c r="J87" i="1" s="1"/>
  <c r="J88" i="1" a="1"/>
  <c r="J88" i="1" s="1"/>
  <c r="J89" i="1" a="1"/>
  <c r="J89" i="1" s="1"/>
  <c r="J90" i="1" a="1"/>
  <c r="J90" i="1" s="1"/>
  <c r="J91" i="1" a="1"/>
  <c r="J91" i="1"/>
  <c r="J92" i="1" a="1"/>
  <c r="J92" i="1" s="1"/>
  <c r="J93" i="1" a="1"/>
  <c r="J93" i="1" s="1"/>
  <c r="J94" i="1" a="1"/>
  <c r="J94" i="1"/>
  <c r="J95" i="1" a="1"/>
  <c r="J95" i="1"/>
  <c r="J96" i="1" a="1"/>
  <c r="J96" i="1"/>
  <c r="J97" i="1" a="1"/>
  <c r="J97" i="1" s="1"/>
  <c r="J98" i="1" a="1"/>
  <c r="J98" i="1"/>
  <c r="J99" i="1" a="1"/>
  <c r="J99" i="1" s="1"/>
  <c r="J100" i="1" a="1"/>
  <c r="J100" i="1"/>
  <c r="J101" i="1" a="1"/>
  <c r="J101" i="1" s="1"/>
  <c r="J102" i="1" a="1"/>
  <c r="J102" i="1" s="1"/>
  <c r="J103" i="1" a="1"/>
  <c r="J103" i="1"/>
  <c r="J104" i="1" a="1"/>
  <c r="J104" i="1"/>
  <c r="J105" i="1" a="1"/>
  <c r="J105" i="1" s="1"/>
  <c r="J106" i="1" a="1"/>
  <c r="J106" i="1"/>
  <c r="J107" i="1" a="1"/>
  <c r="J107" i="1"/>
  <c r="J108" i="1" a="1"/>
  <c r="J108" i="1"/>
  <c r="J109" i="1" a="1"/>
  <c r="J109" i="1"/>
  <c r="J110" i="1" a="1"/>
  <c r="J110" i="1"/>
  <c r="J111" i="1" a="1"/>
  <c r="J111" i="1" s="1"/>
  <c r="J112" i="1" a="1"/>
  <c r="J112" i="1"/>
  <c r="J113" i="1" a="1"/>
  <c r="J113" i="1" s="1"/>
  <c r="J114" i="1" a="1"/>
  <c r="J114" i="1" s="1"/>
  <c r="J115" i="1" a="1"/>
  <c r="J115" i="1" s="1"/>
  <c r="J116" i="1" a="1"/>
  <c r="J116" i="1" s="1"/>
  <c r="J117" i="1" a="1"/>
  <c r="J117" i="1" s="1"/>
  <c r="J118" i="1" a="1"/>
  <c r="J118" i="1"/>
  <c r="J119" i="1" a="1"/>
  <c r="J119" i="1"/>
  <c r="J120" i="1" a="1"/>
  <c r="J120" i="1" s="1"/>
  <c r="J121" i="1" a="1"/>
  <c r="J121" i="1"/>
  <c r="J122" i="1" a="1"/>
  <c r="J122" i="1"/>
  <c r="J123" i="1" a="1"/>
  <c r="J123" i="1" s="1"/>
  <c r="J124" i="1" a="1"/>
  <c r="J124" i="1"/>
  <c r="J125" i="1" a="1"/>
  <c r="J125" i="1"/>
  <c r="J126" i="1" a="1"/>
  <c r="J126" i="1"/>
  <c r="J127" i="1" a="1"/>
  <c r="J127" i="1" s="1"/>
  <c r="J128" i="1" a="1"/>
  <c r="J128" i="1" s="1"/>
  <c r="J129" i="1" a="1"/>
  <c r="J129" i="1" s="1"/>
  <c r="J130" i="1" a="1"/>
  <c r="J130" i="1" s="1"/>
  <c r="J131" i="1" a="1"/>
  <c r="J131" i="1"/>
  <c r="J132" i="1" a="1"/>
  <c r="J132" i="1"/>
  <c r="J133" i="1" a="1"/>
  <c r="J133" i="1"/>
  <c r="J134" i="1" a="1"/>
  <c r="J134" i="1"/>
  <c r="J135" i="1" a="1"/>
  <c r="J135" i="1" s="1"/>
  <c r="J136" i="1" a="1"/>
  <c r="J136" i="1"/>
  <c r="J137" i="1" a="1"/>
  <c r="J137" i="1" s="1"/>
  <c r="J138" i="1" a="1"/>
  <c r="J138" i="1"/>
  <c r="J139" i="1" a="1"/>
  <c r="J139" i="1"/>
  <c r="J140" i="1" a="1"/>
  <c r="J140" i="1" s="1"/>
  <c r="J141" i="1" a="1"/>
  <c r="J141" i="1" s="1"/>
  <c r="J142" i="1" a="1"/>
  <c r="J142" i="1"/>
  <c r="J143" i="1" a="1"/>
  <c r="J143" i="1"/>
  <c r="J144" i="1" a="1"/>
  <c r="J144" i="1" s="1"/>
  <c r="J145" i="1" a="1"/>
  <c r="J145" i="1"/>
  <c r="J146" i="1" a="1"/>
  <c r="J146" i="1"/>
  <c r="J147" i="1" a="1"/>
  <c r="J147" i="1" s="1"/>
  <c r="J148" i="1" a="1"/>
  <c r="J148" i="1" s="1"/>
  <c r="J149" i="1" a="1"/>
  <c r="J149" i="1" s="1"/>
  <c r="J150" i="1" a="1"/>
  <c r="J150" i="1"/>
  <c r="J151" i="1" a="1"/>
  <c r="J151" i="1" s="1"/>
  <c r="J152" i="1" a="1"/>
  <c r="J152" i="1"/>
  <c r="J153" i="1" a="1"/>
  <c r="J153" i="1" s="1"/>
  <c r="J154" i="1" a="1"/>
  <c r="J154" i="1"/>
  <c r="J155" i="1" a="1"/>
  <c r="J155" i="1"/>
  <c r="J156" i="1" a="1"/>
  <c r="J156" i="1"/>
  <c r="J157" i="1" a="1"/>
  <c r="J157" i="1" s="1"/>
  <c r="J158" i="1" a="1"/>
  <c r="J158" i="1"/>
  <c r="J159" i="1" a="1"/>
  <c r="J159" i="1" s="1"/>
  <c r="J160" i="1" a="1"/>
  <c r="J160" i="1" s="1"/>
  <c r="J161" i="1" a="1"/>
  <c r="J161" i="1" s="1"/>
  <c r="J162" i="1" a="1"/>
  <c r="J162" i="1"/>
  <c r="J163" i="1" a="1"/>
  <c r="J163" i="1" s="1"/>
  <c r="J164" i="1" a="1"/>
  <c r="J164" i="1"/>
  <c r="J165" i="1" a="1"/>
  <c r="J165" i="1" s="1"/>
  <c r="J166" i="1" a="1"/>
  <c r="J166" i="1"/>
  <c r="J167" i="1" a="1"/>
  <c r="J167" i="1"/>
  <c r="J168" i="1" a="1"/>
  <c r="J168" i="1"/>
  <c r="J169" i="1" a="1"/>
  <c r="J169" i="1"/>
  <c r="J170" i="1" a="1"/>
  <c r="J170" i="1"/>
  <c r="J171" i="1" a="1"/>
  <c r="J171" i="1" s="1"/>
  <c r="J172" i="1" a="1"/>
  <c r="J172" i="1" s="1"/>
  <c r="J173" i="1" a="1"/>
  <c r="J173" i="1" s="1"/>
  <c r="J174" i="1" a="1"/>
  <c r="J174" i="1" s="1"/>
  <c r="J175" i="1" a="1"/>
  <c r="J175" i="1"/>
  <c r="J176" i="1" a="1"/>
  <c r="J176" i="1"/>
  <c r="J177" i="1" a="1"/>
  <c r="J177" i="1" s="1"/>
  <c r="J178" i="1" a="1"/>
  <c r="J178" i="1"/>
  <c r="J179" i="1" a="1"/>
  <c r="J179" i="1"/>
  <c r="J180" i="1" a="1"/>
  <c r="J180" i="1"/>
  <c r="J181" i="1" a="1"/>
  <c r="J181" i="1"/>
  <c r="J182" i="1" a="1"/>
  <c r="J182" i="1" s="1"/>
  <c r="J183" i="1" a="1"/>
  <c r="J183" i="1" s="1"/>
  <c r="J184" i="1" a="1"/>
  <c r="J184" i="1" s="1"/>
  <c r="J185" i="1" a="1"/>
  <c r="J185" i="1"/>
  <c r="J186" i="1" a="1"/>
  <c r="J186" i="1" s="1"/>
  <c r="J187" i="1" a="1"/>
  <c r="J187" i="1" s="1"/>
  <c r="J188" i="1" a="1"/>
  <c r="J188" i="1" s="1"/>
  <c r="J189" i="1" a="1"/>
  <c r="J189" i="1" s="1"/>
  <c r="J190" i="1" a="1"/>
  <c r="J190" i="1"/>
  <c r="J191" i="1" a="1"/>
  <c r="J191" i="1"/>
  <c r="J192" i="1" a="1"/>
  <c r="J192" i="1"/>
  <c r="J193" i="1" a="1"/>
  <c r="J193" i="1"/>
  <c r="J194" i="1" a="1"/>
  <c r="J194" i="1"/>
  <c r="J195" i="1" a="1"/>
  <c r="J195" i="1" s="1"/>
  <c r="J196" i="1" a="1"/>
  <c r="J196" i="1"/>
  <c r="J197" i="1" a="1"/>
  <c r="J197" i="1" s="1"/>
  <c r="J198" i="1" a="1"/>
  <c r="J198" i="1" s="1"/>
  <c r="J199" i="1" a="1"/>
  <c r="J199" i="1" s="1"/>
  <c r="J200" i="1" a="1"/>
  <c r="J200" i="1" s="1"/>
  <c r="J201" i="1" a="1"/>
  <c r="J201" i="1" s="1"/>
  <c r="J202" i="1" a="1"/>
  <c r="J202" i="1"/>
  <c r="J203" i="1" a="1"/>
  <c r="J203" i="1" s="1"/>
  <c r="J204" i="1" a="1"/>
  <c r="J204" i="1"/>
  <c r="J205" i="1" a="1"/>
  <c r="J205" i="1" s="1"/>
  <c r="J206" i="1" a="1"/>
  <c r="J206" i="1"/>
  <c r="J207" i="1" a="1"/>
  <c r="J207" i="1" s="1"/>
  <c r="J208" i="1" a="1"/>
  <c r="J208" i="1" s="1"/>
  <c r="J209" i="1" a="1"/>
  <c r="J209" i="1"/>
  <c r="J210" i="1" a="1"/>
  <c r="J210" i="1" s="1"/>
  <c r="J211" i="1" a="1"/>
  <c r="J211" i="1"/>
  <c r="J212" i="1" a="1"/>
  <c r="J212" i="1" s="1"/>
  <c r="J213" i="1" a="1"/>
  <c r="J213" i="1" s="1"/>
  <c r="J214" i="1" a="1"/>
  <c r="J214" i="1"/>
  <c r="J215" i="1" a="1"/>
  <c r="J215" i="1" s="1"/>
  <c r="J216" i="1" a="1"/>
  <c r="J216" i="1"/>
  <c r="J217" i="1" a="1"/>
  <c r="J217" i="1"/>
  <c r="J218" i="1" a="1"/>
  <c r="J218" i="1"/>
  <c r="J219" i="1" a="1"/>
  <c r="J219" i="1" s="1"/>
  <c r="J220" i="1" a="1"/>
  <c r="J220" i="1" s="1"/>
  <c r="J221" i="1" a="1"/>
  <c r="J221" i="1"/>
  <c r="J222" i="1" a="1"/>
  <c r="J222" i="1" s="1"/>
  <c r="J223" i="1" a="1"/>
  <c r="J223" i="1"/>
  <c r="J224" i="1" a="1"/>
  <c r="J224" i="1"/>
  <c r="J225" i="1" a="1"/>
  <c r="J225" i="1" s="1"/>
  <c r="J226" i="1" a="1"/>
  <c r="J226" i="1" s="1"/>
  <c r="J227" i="1" a="1"/>
  <c r="J227" i="1"/>
  <c r="J228" i="1" a="1"/>
  <c r="J228" i="1"/>
  <c r="J229" i="1" a="1"/>
  <c r="J229" i="1" s="1"/>
  <c r="J230" i="1" a="1"/>
  <c r="J230" i="1"/>
  <c r="J231" i="1" a="1"/>
  <c r="J231" i="1" s="1"/>
  <c r="J232" i="1" a="1"/>
  <c r="J232" i="1" s="1"/>
  <c r="J233" i="1" a="1"/>
  <c r="J233" i="1" s="1"/>
  <c r="J234" i="1" a="1"/>
  <c r="J234" i="1" s="1"/>
  <c r="J235" i="1" a="1"/>
  <c r="J235" i="1"/>
  <c r="J236" i="1" a="1"/>
  <c r="J236" i="1" s="1"/>
  <c r="J237" i="1" a="1"/>
  <c r="J237" i="1" s="1"/>
  <c r="J238" i="1" a="1"/>
  <c r="J238" i="1"/>
  <c r="J239" i="1" a="1"/>
  <c r="J239" i="1" s="1"/>
  <c r="J240" i="1" a="1"/>
  <c r="J240" i="1"/>
  <c r="J241" i="1" a="1"/>
  <c r="J241" i="1" s="1"/>
  <c r="J242" i="1" a="1"/>
  <c r="J242" i="1"/>
  <c r="J243" i="1" a="1"/>
  <c r="J243" i="1" s="1"/>
  <c r="J244" i="1" a="1"/>
  <c r="J244" i="1" s="1"/>
  <c r="J245" i="1" a="1"/>
  <c r="J245" i="1" s="1"/>
  <c r="J246" i="1" a="1"/>
  <c r="J246" i="1" s="1"/>
  <c r="J247" i="1" a="1"/>
  <c r="J247" i="1"/>
  <c r="J248" i="1" a="1"/>
  <c r="J248" i="1"/>
  <c r="J249" i="1" a="1"/>
  <c r="J249" i="1" s="1"/>
  <c r="J250" i="1" a="1"/>
  <c r="J250" i="1"/>
  <c r="J251" i="1" a="1"/>
  <c r="J251" i="1"/>
  <c r="J252" i="1" a="1"/>
  <c r="J252" i="1" s="1"/>
  <c r="J253" i="1" a="1"/>
  <c r="J253" i="1"/>
  <c r="J254" i="1" a="1"/>
  <c r="J254" i="1"/>
  <c r="J255" i="1" a="1"/>
  <c r="J255" i="1" s="1"/>
  <c r="J256" i="1" a="1"/>
  <c r="J256" i="1"/>
  <c r="J257" i="1" a="1"/>
  <c r="J257" i="1"/>
  <c r="J258" i="1" a="1"/>
  <c r="J258" i="1" s="1"/>
  <c r="J259" i="1" a="1"/>
  <c r="J259" i="1" s="1"/>
  <c r="J260" i="1" a="1"/>
  <c r="J260" i="1"/>
  <c r="J261" i="1" a="1"/>
  <c r="J261" i="1" s="1"/>
  <c r="J262" i="1" a="1"/>
  <c r="J262" i="1"/>
  <c r="J263" i="1" a="1"/>
  <c r="J263" i="1"/>
  <c r="J264" i="1" a="1"/>
  <c r="J264" i="1" s="1"/>
  <c r="J265" i="1" a="1"/>
  <c r="J265" i="1" s="1"/>
  <c r="J266" i="1" a="1"/>
  <c r="J266" i="1"/>
  <c r="J267" i="1" a="1"/>
  <c r="J267" i="1" s="1"/>
  <c r="J268" i="1" a="1"/>
  <c r="J268" i="1"/>
  <c r="J269" i="1" a="1"/>
  <c r="J269" i="1"/>
  <c r="J270" i="1" a="1"/>
  <c r="J270" i="1"/>
  <c r="J271" i="1" a="1"/>
  <c r="J271" i="1" s="1"/>
  <c r="J272" i="1" a="1"/>
  <c r="J272" i="1" s="1"/>
  <c r="J273" i="1" a="1"/>
  <c r="J273" i="1" s="1"/>
  <c r="J274" i="1" a="1"/>
  <c r="J274" i="1"/>
  <c r="J275" i="1" a="1"/>
  <c r="J275" i="1"/>
  <c r="J276" i="1" a="1"/>
  <c r="J276" i="1"/>
  <c r="J277" i="1" a="1"/>
  <c r="J277" i="1"/>
  <c r="J278" i="1" a="1"/>
  <c r="J278" i="1" s="1"/>
  <c r="J279" i="1" a="1"/>
  <c r="J279" i="1" s="1"/>
  <c r="J280" i="1" a="1"/>
  <c r="J280" i="1"/>
  <c r="J281" i="1" a="1"/>
  <c r="J281" i="1"/>
  <c r="J282" i="1" a="1"/>
  <c r="J282" i="1"/>
  <c r="J283" i="1" a="1"/>
  <c r="J283" i="1"/>
  <c r="J284" i="1" a="1"/>
  <c r="J284" i="1" s="1"/>
  <c r="J285" i="1" a="1"/>
  <c r="J285" i="1" s="1"/>
  <c r="J286" i="1" a="1"/>
  <c r="J286" i="1"/>
  <c r="J287" i="1" a="1"/>
  <c r="J287" i="1"/>
  <c r="J288" i="1" a="1"/>
  <c r="J288" i="1"/>
  <c r="J289" i="1" a="1"/>
  <c r="J289" i="1"/>
  <c r="J290" i="1" a="1"/>
  <c r="J290" i="1"/>
  <c r="J291" i="1" a="1"/>
  <c r="J291" i="1" s="1"/>
  <c r="J292" i="1" a="1"/>
  <c r="J292" i="1" s="1"/>
  <c r="J293" i="1" a="1"/>
  <c r="J293" i="1"/>
  <c r="J294" i="1" a="1"/>
  <c r="J294" i="1"/>
  <c r="J295" i="1" a="1"/>
  <c r="J295" i="1"/>
  <c r="J296" i="1" a="1"/>
  <c r="J296" i="1"/>
  <c r="J297" i="1" a="1"/>
  <c r="J297" i="1" s="1"/>
  <c r="J298" i="1" a="1"/>
  <c r="J298" i="1" s="1"/>
  <c r="J299" i="1" a="1"/>
  <c r="J299" i="1"/>
  <c r="J300" i="1" a="1"/>
  <c r="J300" i="1"/>
  <c r="J301" i="1" a="1"/>
  <c r="J301" i="1"/>
  <c r="J302" i="1" a="1"/>
  <c r="J302" i="1"/>
  <c r="J303" i="1" a="1"/>
  <c r="J303" i="1" s="1"/>
  <c r="J304" i="1" a="1"/>
  <c r="J304" i="1" s="1"/>
  <c r="J305" i="1" a="1"/>
  <c r="J305" i="1" s="1"/>
  <c r="J306" i="1" a="1"/>
  <c r="J306" i="1"/>
  <c r="J307" i="1" a="1"/>
  <c r="J307" i="1"/>
  <c r="J308" i="1" a="1"/>
  <c r="J308" i="1" s="1"/>
  <c r="J309" i="1" a="1"/>
  <c r="J309" i="1" s="1"/>
  <c r="J310" i="1" a="1"/>
  <c r="J310" i="1"/>
  <c r="J311" i="1" a="1"/>
  <c r="J311" i="1" s="1"/>
  <c r="J312" i="1" a="1"/>
  <c r="J312" i="1"/>
  <c r="J313" i="1" a="1"/>
  <c r="J313" i="1"/>
  <c r="J314" i="1" a="1"/>
  <c r="J314" i="1"/>
  <c r="J315" i="1" a="1"/>
  <c r="J315" i="1" s="1"/>
  <c r="J316" i="1" a="1"/>
  <c r="J316" i="1"/>
  <c r="J317" i="1" a="1"/>
  <c r="J317" i="1" s="1"/>
  <c r="J318" i="1" a="1"/>
  <c r="J318" i="1" s="1"/>
  <c r="J319" i="1" a="1"/>
  <c r="J319" i="1"/>
  <c r="J320" i="1" a="1"/>
  <c r="J320" i="1"/>
  <c r="J321" i="1" a="1"/>
  <c r="J321" i="1" s="1"/>
  <c r="J322" i="1" a="1"/>
  <c r="J322" i="1"/>
  <c r="J323" i="1" a="1"/>
  <c r="J323" i="1" s="1"/>
  <c r="J324" i="1" a="1"/>
  <c r="J324" i="1" s="1"/>
  <c r="J325" i="1" a="1"/>
  <c r="J325" i="1"/>
  <c r="J326" i="1" a="1"/>
  <c r="J326" i="1"/>
  <c r="J327" i="1" a="1"/>
  <c r="J327" i="1" s="1"/>
  <c r="J328" i="1" a="1"/>
  <c r="J328" i="1"/>
  <c r="J329" i="1" a="1"/>
  <c r="J329" i="1"/>
  <c r="J330" i="1" a="1"/>
  <c r="J330" i="1" s="1"/>
  <c r="J331" i="1" a="1"/>
  <c r="J331" i="1" s="1"/>
  <c r="J332" i="1" a="1"/>
  <c r="J332" i="1"/>
  <c r="J333" i="1" a="1"/>
  <c r="J333" i="1" s="1"/>
  <c r="J334" i="1" a="1"/>
  <c r="J334" i="1"/>
  <c r="J335" i="1" a="1"/>
  <c r="J335" i="1" s="1"/>
  <c r="J336" i="1" a="1"/>
  <c r="J336" i="1"/>
  <c r="J337" i="1" a="1"/>
  <c r="J337" i="1" s="1"/>
  <c r="J338" i="1" a="1"/>
  <c r="J338" i="1"/>
  <c r="J339" i="1" a="1"/>
  <c r="J339" i="1" s="1"/>
  <c r="J340" i="1" a="1"/>
  <c r="J340" i="1" s="1"/>
  <c r="J341" i="1" a="1"/>
  <c r="J341" i="1"/>
  <c r="J342" i="1" a="1"/>
  <c r="J342" i="1" s="1"/>
  <c r="J343" i="1" a="1"/>
  <c r="J343" i="1" s="1"/>
  <c r="J344" i="1" a="1"/>
  <c r="J344" i="1" s="1"/>
  <c r="J345" i="1" a="1"/>
  <c r="J345" i="1" s="1"/>
  <c r="J346" i="1" a="1"/>
  <c r="J346" i="1" s="1"/>
  <c r="J347" i="1" a="1"/>
  <c r="J347" i="1"/>
  <c r="J348" i="1" a="1"/>
  <c r="J348" i="1" s="1"/>
  <c r="J349" i="1" a="1"/>
  <c r="J349" i="1"/>
  <c r="J350" i="1" a="1"/>
  <c r="J350" i="1" s="1"/>
  <c r="J351" i="1" a="1"/>
  <c r="J351" i="1" s="1"/>
  <c r="J352" i="1" a="1"/>
  <c r="J352" i="1"/>
  <c r="J353" i="1" a="1"/>
  <c r="J353" i="1" s="1"/>
  <c r="J354" i="1" a="1"/>
  <c r="J354" i="1"/>
  <c r="J355" i="1" a="1"/>
  <c r="J355" i="1" s="1"/>
  <c r="J356" i="1" a="1"/>
  <c r="J356" i="1" s="1"/>
  <c r="J357" i="1" a="1"/>
  <c r="J357" i="1" s="1"/>
  <c r="J358" i="1" a="1"/>
  <c r="J358" i="1"/>
  <c r="J359" i="1" a="1"/>
  <c r="J359" i="1"/>
  <c r="J360" i="1" a="1"/>
  <c r="J360" i="1" s="1"/>
  <c r="J361" i="1" a="1"/>
  <c r="J361" i="1"/>
  <c r="J362" i="1" a="1"/>
  <c r="J362" i="1" s="1"/>
  <c r="J363" i="1" a="1"/>
  <c r="J363" i="1" s="1"/>
  <c r="J364" i="1" a="1"/>
  <c r="J364" i="1" s="1"/>
  <c r="J365" i="1" a="1"/>
  <c r="J365" i="1"/>
  <c r="J366" i="1" a="1"/>
  <c r="J366" i="1"/>
  <c r="J367" i="1" a="1"/>
  <c r="J367" i="1" s="1"/>
  <c r="J368" i="1" a="1"/>
  <c r="J368" i="1"/>
  <c r="J369" i="1" a="1"/>
  <c r="J369" i="1" s="1"/>
  <c r="J370" i="1" a="1"/>
  <c r="J370" i="1" s="1"/>
  <c r="J371" i="1" a="1"/>
  <c r="J371" i="1"/>
  <c r="J372" i="1" a="1"/>
  <c r="J372" i="1"/>
  <c r="J373" i="1" a="1"/>
  <c r="J373" i="1" s="1"/>
  <c r="J374" i="1" a="1"/>
  <c r="J374" i="1" s="1"/>
  <c r="J375" i="1" a="1"/>
  <c r="J375" i="1" s="1"/>
  <c r="J376" i="1" a="1"/>
  <c r="J376" i="1" s="1"/>
  <c r="J377" i="1" a="1"/>
  <c r="J377" i="1" s="1"/>
  <c r="J378" i="1" a="1"/>
  <c r="J378" i="1"/>
  <c r="J379" i="1" a="1"/>
  <c r="J379" i="1"/>
  <c r="J380" i="1" a="1"/>
  <c r="J380" i="1"/>
  <c r="J381" i="1" a="1"/>
  <c r="J381" i="1" s="1"/>
  <c r="J382" i="1" a="1"/>
  <c r="J382" i="1" s="1"/>
  <c r="J383" i="1" a="1"/>
  <c r="J383" i="1" s="1"/>
  <c r="J384" i="1" a="1"/>
  <c r="J384" i="1"/>
  <c r="J385" i="1" a="1"/>
  <c r="J385" i="1"/>
  <c r="J386" i="1" a="1"/>
  <c r="J386" i="1"/>
  <c r="J387" i="1" a="1"/>
  <c r="J387" i="1" s="1"/>
  <c r="J388" i="1" a="1"/>
  <c r="J388" i="1"/>
  <c r="J389" i="1" a="1"/>
  <c r="J389" i="1" s="1"/>
  <c r="J390" i="1" a="1"/>
  <c r="J390" i="1" s="1"/>
  <c r="J391" i="1" a="1"/>
  <c r="J391" i="1"/>
  <c r="J392" i="1" a="1"/>
  <c r="J392" i="1" s="1"/>
  <c r="J393" i="1" a="1"/>
  <c r="J393" i="1" s="1"/>
  <c r="J394" i="1" a="1"/>
  <c r="J394" i="1"/>
  <c r="J395" i="1" a="1"/>
  <c r="J395" i="1"/>
  <c r="J396" i="1" a="1"/>
  <c r="J396" i="1" s="1"/>
  <c r="J397" i="1" a="1"/>
  <c r="J397" i="1"/>
  <c r="J398" i="1" a="1"/>
  <c r="J398" i="1"/>
  <c r="J399" i="1" a="1"/>
  <c r="J399" i="1" s="1"/>
  <c r="J400" i="1" a="1"/>
  <c r="J400" i="1"/>
  <c r="J401" i="1" a="1"/>
  <c r="J401" i="1"/>
  <c r="J402" i="1" a="1"/>
  <c r="J402" i="1" s="1"/>
  <c r="J403" i="1" a="1"/>
  <c r="J403" i="1" s="1"/>
  <c r="J404" i="1" a="1"/>
  <c r="J404" i="1"/>
  <c r="J405" i="1" a="1"/>
  <c r="J405" i="1" s="1"/>
  <c r="J406" i="1" a="1"/>
  <c r="J406" i="1"/>
  <c r="J407" i="1" a="1"/>
  <c r="J407" i="1" s="1"/>
  <c r="J408" i="1" a="1"/>
  <c r="J408" i="1" s="1"/>
  <c r="J409" i="1" a="1"/>
  <c r="J409" i="1" s="1"/>
  <c r="J410" i="1" a="1"/>
  <c r="J410" i="1"/>
  <c r="J411" i="1" a="1"/>
  <c r="J411" i="1" s="1"/>
  <c r="J412" i="1" a="1"/>
  <c r="J412" i="1" s="1"/>
  <c r="J413" i="1" a="1"/>
  <c r="J413" i="1"/>
  <c r="J414" i="1" a="1"/>
  <c r="J414" i="1" s="1"/>
  <c r="J415" i="1" a="1"/>
  <c r="J415" i="1" s="1"/>
  <c r="J416" i="1" a="1"/>
  <c r="J416" i="1" s="1"/>
  <c r="J417" i="1" a="1"/>
  <c r="J417" i="1" s="1"/>
  <c r="J418" i="1" a="1"/>
  <c r="J418" i="1"/>
  <c r="J419" i="1" a="1"/>
  <c r="J419" i="1"/>
  <c r="J420" i="1" a="1"/>
  <c r="J420" i="1"/>
  <c r="J421" i="1" a="1"/>
  <c r="J421" i="1"/>
  <c r="J422" i="1" a="1"/>
  <c r="J422" i="1" s="1"/>
  <c r="J423" i="1" a="1"/>
  <c r="J423" i="1" s="1"/>
  <c r="J424" i="1" a="1"/>
  <c r="J424" i="1"/>
  <c r="J425" i="1" a="1"/>
  <c r="J425" i="1"/>
  <c r="J426" i="1" a="1"/>
  <c r="J426" i="1"/>
  <c r="J427" i="1" a="1"/>
  <c r="J427" i="1"/>
  <c r="J428" i="1" a="1"/>
  <c r="J428" i="1" s="1"/>
  <c r="J429" i="1" a="1"/>
  <c r="J429" i="1" s="1"/>
  <c r="J430" i="1" a="1"/>
  <c r="J430" i="1"/>
  <c r="J431" i="1" a="1"/>
  <c r="J431" i="1"/>
  <c r="J432" i="1" a="1"/>
  <c r="J432" i="1"/>
  <c r="J433" i="1" a="1"/>
  <c r="J433" i="1"/>
  <c r="J434" i="1" a="1"/>
  <c r="J434" i="1"/>
  <c r="J435" i="1" a="1"/>
  <c r="J435" i="1" s="1"/>
  <c r="J436" i="1" a="1"/>
  <c r="J436" i="1" s="1"/>
  <c r="J437" i="1" a="1"/>
  <c r="J437" i="1"/>
  <c r="J438" i="1" a="1"/>
  <c r="J438" i="1"/>
  <c r="J439" i="1" a="1"/>
  <c r="J439" i="1"/>
  <c r="J440" i="1" a="1"/>
  <c r="J440" i="1"/>
  <c r="J441" i="1" a="1"/>
  <c r="J441" i="1" s="1"/>
  <c r="J442" i="1" a="1"/>
  <c r="J442" i="1" s="1"/>
  <c r="J443" i="1" a="1"/>
  <c r="J443" i="1"/>
  <c r="J444" i="1" a="1"/>
  <c r="J444" i="1"/>
  <c r="J445" i="1" a="1"/>
  <c r="J445" i="1"/>
  <c r="J446" i="1" a="1"/>
  <c r="J446" i="1"/>
  <c r="J447" i="1" a="1"/>
  <c r="J447" i="1" s="1"/>
  <c r="J448" i="1" a="1"/>
  <c r="J448" i="1" s="1"/>
  <c r="J449" i="1" a="1"/>
  <c r="J449" i="1" s="1"/>
  <c r="J450" i="1" a="1"/>
  <c r="J450" i="1"/>
  <c r="J451" i="1" a="1"/>
  <c r="J451" i="1" s="1"/>
  <c r="J452" i="1" a="1"/>
  <c r="J452" i="1"/>
  <c r="J453" i="1" a="1"/>
  <c r="J453" i="1" s="1"/>
  <c r="J454" i="1" a="1"/>
  <c r="J454" i="1" s="1"/>
  <c r="J455" i="1" a="1"/>
  <c r="J455" i="1" s="1"/>
  <c r="J456" i="1" a="1"/>
  <c r="J456" i="1"/>
  <c r="J457" i="1" a="1"/>
  <c r="J457" i="1"/>
  <c r="J458" i="1" a="1"/>
  <c r="J458" i="1" s="1"/>
  <c r="J459" i="1" a="1"/>
  <c r="J459" i="1" s="1"/>
  <c r="J460" i="1" a="1"/>
  <c r="J460" i="1"/>
  <c r="J461" i="1" a="1"/>
  <c r="J461" i="1" s="1"/>
  <c r="J462" i="1" a="1"/>
  <c r="J462" i="1" s="1"/>
  <c r="J463" i="1" a="1"/>
  <c r="J463" i="1"/>
  <c r="J464" i="1" a="1"/>
  <c r="J464" i="1"/>
  <c r="J465" i="1" a="1"/>
  <c r="J465" i="1" s="1"/>
  <c r="J466" i="1" a="1"/>
  <c r="J466" i="1" s="1"/>
  <c r="J467" i="1" a="1"/>
  <c r="J467" i="1"/>
  <c r="J468" i="1" a="1"/>
  <c r="J468" i="1" s="1"/>
  <c r="J469" i="1" a="1"/>
  <c r="J469" i="1"/>
  <c r="J470" i="1" a="1"/>
  <c r="J470" i="1" s="1"/>
  <c r="J471" i="1" a="1"/>
  <c r="J471" i="1" s="1"/>
  <c r="J472" i="1" a="1"/>
  <c r="J472" i="1"/>
  <c r="J473" i="1" a="1"/>
  <c r="J473" i="1" s="1"/>
  <c r="J474" i="1" a="1"/>
  <c r="J474" i="1" s="1"/>
  <c r="J475" i="1" a="1"/>
  <c r="J475" i="1" s="1"/>
  <c r="J476" i="1" a="1"/>
  <c r="J476" i="1" s="1"/>
  <c r="J477" i="1" a="1"/>
  <c r="J477" i="1" s="1"/>
  <c r="J478" i="1" a="1"/>
  <c r="J478" i="1"/>
  <c r="J479" i="1" a="1"/>
  <c r="J479" i="1"/>
  <c r="J480" i="1" a="1"/>
  <c r="J480" i="1"/>
  <c r="J481" i="1" a="1"/>
  <c r="J481" i="1" s="1"/>
  <c r="J482" i="1" a="1"/>
  <c r="J482" i="1"/>
  <c r="J483" i="1" a="1"/>
  <c r="J483" i="1" s="1"/>
  <c r="J484" i="1" a="1"/>
  <c r="J484" i="1"/>
  <c r="J485" i="1" a="1"/>
  <c r="J485" i="1"/>
  <c r="J486" i="1" a="1"/>
  <c r="J486" i="1"/>
  <c r="J487" i="1" a="1"/>
  <c r="J487" i="1" s="1"/>
  <c r="J488" i="1" a="1"/>
  <c r="J488" i="1" s="1"/>
  <c r="J489" i="1" a="1"/>
  <c r="J489" i="1" s="1"/>
  <c r="J490" i="1" a="1"/>
  <c r="J490" i="1"/>
  <c r="J491" i="1" a="1"/>
  <c r="J491" i="1" s="1"/>
  <c r="J492" i="1" a="1"/>
  <c r="J492" i="1"/>
  <c r="J493" i="1" a="1"/>
  <c r="J493" i="1" s="1"/>
  <c r="J494" i="1" a="1"/>
  <c r="J494" i="1" s="1"/>
  <c r="J495" i="1" a="1"/>
  <c r="J495" i="1" s="1"/>
  <c r="J496" i="1" a="1"/>
  <c r="J496" i="1" s="1"/>
  <c r="J497" i="1" a="1"/>
  <c r="J497" i="1"/>
  <c r="J498" i="1" a="1"/>
  <c r="J498" i="1"/>
  <c r="J499" i="1" a="1"/>
  <c r="J499" i="1" s="1"/>
  <c r="J500" i="1" a="1"/>
  <c r="J500" i="1" s="1"/>
  <c r="J501" i="1" a="1"/>
  <c r="J501" i="1" s="1"/>
  <c r="J502" i="1" a="1"/>
  <c r="J502" i="1"/>
  <c r="J503" i="1" a="1"/>
  <c r="J503" i="1" s="1"/>
  <c r="J504" i="1" a="1"/>
  <c r="J504" i="1"/>
  <c r="J505" i="1" a="1"/>
  <c r="J505" i="1"/>
  <c r="J506" i="1" a="1"/>
  <c r="J506" i="1"/>
  <c r="J507" i="1" a="1"/>
  <c r="J507" i="1" s="1"/>
  <c r="J508" i="1" a="1"/>
  <c r="J508" i="1" s="1"/>
  <c r="J509" i="1" a="1"/>
  <c r="J509" i="1"/>
  <c r="J510" i="1" a="1"/>
  <c r="J510" i="1" s="1"/>
  <c r="J511" i="1" a="1"/>
  <c r="J511" i="1"/>
  <c r="J512" i="1" a="1"/>
  <c r="J512" i="1"/>
  <c r="J513" i="1" a="1"/>
  <c r="J513" i="1" s="1"/>
  <c r="J514" i="1" a="1"/>
  <c r="J514" i="1" s="1"/>
  <c r="J515" i="1" a="1"/>
  <c r="J515" i="1" s="1"/>
  <c r="J516" i="1" a="1"/>
  <c r="J516" i="1"/>
  <c r="J517" i="1" a="1"/>
  <c r="J517" i="1" s="1"/>
  <c r="J518" i="1" a="1"/>
  <c r="J518" i="1" s="1"/>
  <c r="J519" i="1" a="1"/>
  <c r="J519" i="1" s="1"/>
  <c r="J520" i="1" a="1"/>
  <c r="J520" i="1" s="1"/>
  <c r="J521" i="1" a="1"/>
  <c r="J521" i="1"/>
  <c r="J522" i="1" a="1"/>
  <c r="J522" i="1" s="1"/>
  <c r="J523" i="1" a="1"/>
  <c r="J523" i="1"/>
  <c r="J524" i="1" a="1"/>
  <c r="J524" i="1" s="1"/>
  <c r="J525" i="1" a="1"/>
  <c r="J525" i="1" s="1"/>
  <c r="J526" i="1" a="1"/>
  <c r="J526" i="1" s="1"/>
  <c r="J527" i="1" a="1"/>
  <c r="J527" i="1" s="1"/>
  <c r="J528" i="1" a="1"/>
  <c r="J528" i="1"/>
  <c r="J529" i="1" a="1"/>
  <c r="J529" i="1" s="1"/>
  <c r="J530" i="1" a="1"/>
  <c r="J530" i="1"/>
  <c r="J531" i="1" a="1"/>
  <c r="J531" i="1" s="1"/>
  <c r="J532" i="1" a="1"/>
  <c r="J532" i="1" s="1"/>
  <c r="J533" i="1" a="1"/>
  <c r="J533" i="1"/>
  <c r="J534" i="1" a="1"/>
  <c r="J534" i="1"/>
  <c r="J535" i="1" a="1"/>
  <c r="J535" i="1"/>
  <c r="J536" i="1" a="1"/>
  <c r="J536" i="1" s="1"/>
  <c r="J537" i="1" a="1"/>
  <c r="J537" i="1" s="1"/>
  <c r="J538" i="1" a="1"/>
  <c r="J538" i="1" s="1"/>
  <c r="J539" i="1" a="1"/>
  <c r="J539" i="1" s="1"/>
  <c r="J540" i="1" a="1"/>
  <c r="J540" i="1"/>
  <c r="J541" i="1" a="1"/>
  <c r="J541" i="1"/>
  <c r="J542" i="1" a="1"/>
  <c r="J542" i="1"/>
  <c r="J543" i="1" a="1"/>
  <c r="J543" i="1" s="1"/>
  <c r="J544" i="1" a="1"/>
  <c r="J544" i="1" s="1"/>
  <c r="J545" i="1" a="1"/>
  <c r="J545" i="1"/>
  <c r="J546" i="1" a="1"/>
  <c r="J546" i="1" s="1"/>
  <c r="J547" i="1" a="1"/>
  <c r="J547" i="1"/>
  <c r="J548" i="1" a="1"/>
  <c r="J548" i="1" s="1"/>
  <c r="J549" i="1" a="1"/>
  <c r="J549" i="1" s="1"/>
  <c r="J550" i="1" a="1"/>
  <c r="J550" i="1" s="1"/>
  <c r="J551" i="1" a="1"/>
  <c r="J551" i="1" s="1"/>
  <c r="J552" i="1" a="1"/>
  <c r="J552" i="1"/>
  <c r="J553" i="1" a="1"/>
  <c r="J553" i="1" s="1"/>
  <c r="J554" i="1" a="1"/>
  <c r="J554" i="1"/>
  <c r="J555" i="1" a="1"/>
  <c r="J555" i="1" s="1"/>
  <c r="J556" i="1" a="1"/>
  <c r="J556" i="1" s="1"/>
  <c r="J557" i="1" a="1"/>
  <c r="J557" i="1" s="1"/>
  <c r="J558" i="1" a="1"/>
  <c r="J558" i="1" s="1"/>
  <c r="J559" i="1" a="1"/>
  <c r="J559" i="1"/>
  <c r="J560" i="1" a="1"/>
  <c r="J560" i="1" s="1"/>
  <c r="J561" i="1" a="1"/>
  <c r="J561" i="1" s="1"/>
  <c r="J562" i="1" a="1"/>
  <c r="J562" i="1" s="1"/>
  <c r="J563" i="1" a="1"/>
  <c r="J563" i="1"/>
  <c r="J564" i="1" a="1"/>
  <c r="J564" i="1"/>
  <c r="J565" i="1" a="1"/>
  <c r="J565" i="1" s="1"/>
  <c r="J566" i="1" a="1"/>
  <c r="J566" i="1"/>
  <c r="J567" i="1" a="1"/>
  <c r="J567" i="1" s="1"/>
  <c r="J568" i="1" a="1"/>
  <c r="J568" i="1" s="1"/>
  <c r="J569" i="1" a="1"/>
  <c r="J569" i="1"/>
  <c r="J570" i="1" a="1"/>
  <c r="J570" i="1"/>
  <c r="J571" i="1" a="1"/>
  <c r="J571" i="1"/>
  <c r="J572" i="1" a="1"/>
  <c r="J572" i="1" s="1"/>
  <c r="J573" i="1" a="1"/>
  <c r="J573" i="1" s="1"/>
  <c r="J574" i="1" a="1"/>
  <c r="J574" i="1" s="1"/>
  <c r="J575" i="1" a="1"/>
  <c r="J575" i="1" s="1"/>
  <c r="J576" i="1" a="1"/>
  <c r="J576" i="1"/>
  <c r="J577" i="1" a="1"/>
  <c r="J577" i="1"/>
  <c r="J578" i="1" a="1"/>
  <c r="J578" i="1"/>
  <c r="J579" i="1" a="1"/>
  <c r="J579" i="1" s="1"/>
  <c r="J580" i="1" a="1"/>
  <c r="J580" i="1" s="1"/>
  <c r="J581" i="1" a="1"/>
  <c r="J581" i="1"/>
  <c r="J582" i="1" a="1"/>
  <c r="J582" i="1" s="1"/>
  <c r="J583" i="1" a="1"/>
  <c r="J583" i="1"/>
  <c r="J584" i="1" a="1"/>
  <c r="J584" i="1" s="1"/>
  <c r="J585" i="1" a="1"/>
  <c r="J585" i="1" s="1"/>
  <c r="J586" i="1" a="1"/>
  <c r="J586" i="1" s="1"/>
  <c r="J587" i="1" a="1"/>
  <c r="J587" i="1" s="1"/>
  <c r="J588" i="1" a="1"/>
  <c r="J588" i="1"/>
  <c r="J589" i="1" a="1"/>
  <c r="J589" i="1" s="1"/>
  <c r="J590" i="1" a="1"/>
  <c r="J590" i="1" s="1"/>
  <c r="J591" i="1" a="1"/>
  <c r="J591" i="1" s="1"/>
  <c r="J592" i="1" a="1"/>
  <c r="J592" i="1" s="1"/>
  <c r="J593" i="1" a="1"/>
  <c r="J593" i="1" s="1"/>
  <c r="J594" i="1" a="1"/>
  <c r="J594" i="1" s="1"/>
  <c r="J595" i="1" a="1"/>
  <c r="J595" i="1"/>
  <c r="J596" i="1" a="1"/>
  <c r="J596" i="1" s="1"/>
  <c r="J597" i="1" a="1"/>
  <c r="J597" i="1" s="1"/>
  <c r="J598" i="1" a="1"/>
  <c r="J598" i="1" s="1"/>
  <c r="J599" i="1" a="1"/>
  <c r="J599" i="1" s="1"/>
  <c r="J600" i="1" a="1"/>
  <c r="J600" i="1"/>
  <c r="J601" i="1" a="1"/>
  <c r="J601" i="1" s="1"/>
  <c r="J602" i="1" a="1"/>
  <c r="J602" i="1"/>
  <c r="J603" i="1" a="1"/>
  <c r="J603" i="1" s="1"/>
  <c r="J604" i="1" a="1"/>
  <c r="J604" i="1" s="1"/>
  <c r="J605" i="1" a="1"/>
  <c r="J605" i="1"/>
  <c r="J606" i="1" a="1"/>
  <c r="J606" i="1"/>
  <c r="J607" i="1" a="1"/>
  <c r="J607" i="1"/>
  <c r="J608" i="1" a="1"/>
  <c r="J608" i="1" s="1"/>
  <c r="J609" i="1" a="1"/>
  <c r="J609" i="1" s="1"/>
  <c r="J610" i="1" a="1"/>
  <c r="J610" i="1" s="1"/>
  <c r="J611" i="1" a="1"/>
  <c r="J611" i="1" s="1"/>
  <c r="J612" i="1" a="1"/>
  <c r="J612" i="1"/>
  <c r="J613" i="1" a="1"/>
  <c r="J613" i="1"/>
  <c r="J614" i="1" a="1"/>
  <c r="J614" i="1"/>
  <c r="J615" i="1" a="1"/>
  <c r="J615" i="1" s="1"/>
  <c r="J616" i="1" a="1"/>
  <c r="J616" i="1" s="1"/>
  <c r="J617" i="1" a="1"/>
  <c r="J617" i="1"/>
  <c r="J618" i="1" a="1"/>
  <c r="J618" i="1" s="1"/>
  <c r="J619" i="1" a="1"/>
  <c r="J619" i="1"/>
  <c r="J620" i="1" a="1"/>
  <c r="J620" i="1"/>
  <c r="J621" i="1" a="1"/>
  <c r="J621" i="1" s="1"/>
  <c r="J622" i="1" a="1"/>
  <c r="J622" i="1" s="1"/>
  <c r="J623" i="1" a="1"/>
  <c r="J623" i="1" s="1"/>
  <c r="J624" i="1" a="1"/>
  <c r="J624" i="1"/>
  <c r="J625" i="1" a="1"/>
  <c r="J625" i="1" s="1"/>
  <c r="J626" i="1" a="1"/>
  <c r="J626" i="1" s="1"/>
  <c r="J627" i="1" a="1"/>
  <c r="J627" i="1" s="1"/>
  <c r="J628" i="1" a="1"/>
  <c r="J628" i="1" s="1"/>
  <c r="J629" i="1" a="1"/>
  <c r="J629" i="1"/>
  <c r="J630" i="1" a="1"/>
  <c r="J630" i="1" s="1"/>
  <c r="J631" i="1" a="1"/>
  <c r="J631" i="1"/>
  <c r="J632" i="1" a="1"/>
  <c r="J632" i="1" s="1"/>
  <c r="J633" i="1" a="1"/>
  <c r="J633" i="1" s="1"/>
  <c r="J634" i="1" a="1"/>
  <c r="J634" i="1" s="1"/>
  <c r="J635" i="1" a="1"/>
  <c r="J635" i="1" s="1"/>
  <c r="J636" i="1" a="1"/>
  <c r="J636" i="1"/>
  <c r="J637" i="1" a="1"/>
  <c r="J637" i="1" s="1"/>
  <c r="J638" i="1" a="1"/>
  <c r="J638" i="1"/>
  <c r="J639" i="1" a="1"/>
  <c r="J639" i="1" s="1"/>
  <c r="J640" i="1" a="1"/>
  <c r="J640" i="1" s="1"/>
  <c r="J641" i="1" a="1"/>
  <c r="J641" i="1"/>
  <c r="J642" i="1" a="1"/>
  <c r="J642" i="1"/>
  <c r="J643" i="1" a="1"/>
  <c r="J643" i="1"/>
  <c r="J644" i="1" a="1"/>
  <c r="J644" i="1" s="1"/>
  <c r="J645" i="1" a="1"/>
  <c r="J645" i="1" s="1"/>
  <c r="J646" i="1" a="1"/>
  <c r="J646" i="1" s="1"/>
  <c r="J647" i="1" a="1"/>
  <c r="J647" i="1" s="1"/>
  <c r="J648" i="1" a="1"/>
  <c r="J648" i="1"/>
  <c r="J649" i="1" a="1"/>
  <c r="J649" i="1"/>
  <c r="J650" i="1" a="1"/>
  <c r="J650" i="1"/>
  <c r="J651" i="1" a="1"/>
  <c r="J651" i="1" s="1"/>
  <c r="J652" i="1" a="1"/>
  <c r="J652" i="1" s="1"/>
  <c r="J653" i="1" a="1"/>
  <c r="J653" i="1"/>
  <c r="J654" i="1" a="1"/>
  <c r="J654" i="1" s="1"/>
  <c r="J655" i="1" a="1"/>
  <c r="J655" i="1"/>
  <c r="J656" i="1" a="1"/>
  <c r="J656" i="1" s="1"/>
  <c r="J657" i="1" a="1"/>
  <c r="J657" i="1" s="1"/>
  <c r="J658" i="1" a="1"/>
  <c r="J658" i="1" s="1"/>
  <c r="J659" i="1" a="1"/>
  <c r="J659" i="1" s="1"/>
  <c r="J660" i="1" a="1"/>
  <c r="J660" i="1"/>
  <c r="J661" i="1" a="1"/>
  <c r="J661" i="1" s="1"/>
  <c r="J662" i="1" a="1"/>
  <c r="J662" i="1"/>
  <c r="J663" i="1" a="1"/>
  <c r="J663" i="1" s="1"/>
  <c r="J664" i="1" a="1"/>
  <c r="J664" i="1" s="1"/>
  <c r="J665" i="1" a="1"/>
  <c r="J665" i="1" s="1"/>
  <c r="J666" i="1" a="1"/>
  <c r="J666" i="1" s="1"/>
  <c r="J667" i="1" a="1"/>
  <c r="J667" i="1"/>
  <c r="J668" i="1" a="1"/>
  <c r="J668" i="1" s="1"/>
  <c r="J669" i="1" a="1"/>
  <c r="J669" i="1" s="1"/>
  <c r="J670" i="1" a="1"/>
  <c r="J670" i="1" s="1"/>
  <c r="J671" i="1" a="1"/>
  <c r="J671" i="1"/>
  <c r="J672" i="1" a="1"/>
  <c r="J672" i="1"/>
  <c r="J673" i="1" a="1"/>
  <c r="J673" i="1" s="1"/>
  <c r="J674" i="1" a="1"/>
  <c r="J674" i="1"/>
  <c r="J675" i="1" a="1"/>
  <c r="J675" i="1" s="1"/>
  <c r="J676" i="1" a="1"/>
  <c r="J676" i="1" s="1"/>
  <c r="J677" i="1" a="1"/>
  <c r="J677" i="1"/>
  <c r="J678" i="1" a="1"/>
  <c r="J678" i="1"/>
  <c r="J679" i="1" a="1"/>
  <c r="J679" i="1"/>
  <c r="J680" i="1" a="1"/>
  <c r="J680" i="1" s="1"/>
  <c r="J681" i="1" a="1"/>
  <c r="J681" i="1" s="1"/>
  <c r="J682" i="1" a="1"/>
  <c r="J682" i="1" s="1"/>
  <c r="J683" i="1" a="1"/>
  <c r="J683" i="1" s="1"/>
  <c r="J684" i="1" a="1"/>
  <c r="J684" i="1"/>
  <c r="J685" i="1" a="1"/>
  <c r="J685" i="1"/>
  <c r="J686" i="1" a="1"/>
  <c r="J686" i="1"/>
  <c r="J687" i="1" a="1"/>
  <c r="J687" i="1" s="1"/>
  <c r="J688" i="1" a="1"/>
  <c r="J688" i="1" s="1"/>
  <c r="J689" i="1" a="1"/>
  <c r="J689" i="1"/>
  <c r="J690" i="1" a="1"/>
  <c r="J690" i="1" s="1"/>
  <c r="J691" i="1" a="1"/>
  <c r="J691" i="1"/>
  <c r="J692" i="1" a="1"/>
  <c r="J692" i="1" s="1"/>
  <c r="J693" i="1" a="1"/>
  <c r="J693" i="1" s="1"/>
  <c r="J694" i="1" a="1"/>
  <c r="J694" i="1" s="1"/>
  <c r="J695" i="1" a="1"/>
  <c r="J695" i="1" s="1"/>
  <c r="J696" i="1" a="1"/>
  <c r="J696" i="1"/>
  <c r="J697" i="1" a="1"/>
  <c r="J697" i="1" s="1"/>
  <c r="J698" i="1" a="1"/>
  <c r="J698" i="1" s="1"/>
  <c r="J699" i="1" a="1"/>
  <c r="J699" i="1" s="1"/>
  <c r="J700" i="1" a="1"/>
  <c r="J700" i="1" s="1"/>
  <c r="J701" i="1" a="1"/>
  <c r="J701" i="1" s="1"/>
  <c r="J702" i="1" a="1"/>
  <c r="J702" i="1" s="1"/>
  <c r="J703" i="1" a="1"/>
  <c r="J703" i="1"/>
  <c r="J704" i="1" a="1"/>
  <c r="J704" i="1" s="1"/>
  <c r="J705" i="1" a="1"/>
  <c r="J705" i="1" s="1"/>
  <c r="J706" i="1" a="1"/>
  <c r="J706" i="1" s="1"/>
  <c r="J707" i="1" a="1"/>
  <c r="J707" i="1" s="1"/>
  <c r="J708" i="1" a="1"/>
  <c r="J708" i="1"/>
  <c r="J709" i="1" a="1"/>
  <c r="J709" i="1" s="1"/>
  <c r="J710" i="1" a="1"/>
  <c r="J710" i="1"/>
  <c r="J711" i="1" a="1"/>
  <c r="J711" i="1" s="1"/>
  <c r="J712" i="1" a="1"/>
  <c r="J712" i="1" s="1"/>
  <c r="J713" i="1" a="1"/>
  <c r="J713" i="1"/>
  <c r="J714" i="1" a="1"/>
  <c r="J714" i="1"/>
  <c r="J715" i="1" a="1"/>
  <c r="J715" i="1"/>
  <c r="J716" i="1" a="1"/>
  <c r="J716" i="1" s="1"/>
  <c r="J717" i="1" a="1"/>
  <c r="J717" i="1" s="1"/>
  <c r="J718" i="1" a="1"/>
  <c r="J718" i="1" s="1"/>
  <c r="J719" i="1" a="1"/>
  <c r="J719" i="1" s="1"/>
  <c r="J720" i="1" a="1"/>
  <c r="J720" i="1"/>
  <c r="J721" i="1" a="1"/>
  <c r="J721" i="1"/>
  <c r="J722" i="1" a="1"/>
  <c r="J722" i="1"/>
  <c r="J723" i="1" a="1"/>
  <c r="J723" i="1" s="1"/>
  <c r="J724" i="1" a="1"/>
  <c r="J724" i="1" s="1"/>
  <c r="J725" i="1" a="1"/>
  <c r="J725" i="1"/>
  <c r="J726" i="1" a="1"/>
  <c r="J726" i="1" s="1"/>
  <c r="J727" i="1" a="1"/>
  <c r="J727" i="1"/>
  <c r="J728" i="1" a="1"/>
  <c r="J728" i="1"/>
  <c r="J729" i="1" a="1"/>
  <c r="J729" i="1" s="1"/>
  <c r="J730" i="1" a="1"/>
  <c r="J730" i="1" s="1"/>
  <c r="J731" i="1" a="1"/>
  <c r="J731" i="1" s="1"/>
  <c r="J732" i="1" a="1"/>
  <c r="J732" i="1"/>
  <c r="J733" i="1" a="1"/>
  <c r="J733" i="1" s="1"/>
  <c r="J734" i="1" a="1"/>
  <c r="J734" i="1" s="1"/>
  <c r="J735" i="1" a="1"/>
  <c r="J735" i="1" s="1"/>
  <c r="J736" i="1" a="1"/>
  <c r="J736" i="1" s="1"/>
  <c r="J737" i="1" a="1"/>
  <c r="J737" i="1"/>
  <c r="J738" i="1" a="1"/>
  <c r="J738" i="1" s="1"/>
  <c r="J739" i="1" a="1"/>
  <c r="J739" i="1"/>
  <c r="J740" i="1" a="1"/>
  <c r="J740" i="1" s="1"/>
  <c r="J741" i="1" a="1"/>
  <c r="J741" i="1" s="1"/>
  <c r="J742" i="1" a="1"/>
  <c r="J742" i="1" s="1"/>
  <c r="J743" i="1" a="1"/>
  <c r="J743" i="1" s="1"/>
  <c r="J744" i="1" a="1"/>
  <c r="J744" i="1"/>
  <c r="J745" i="1" a="1"/>
  <c r="J745" i="1" s="1"/>
  <c r="J746" i="1" a="1"/>
  <c r="J746" i="1"/>
  <c r="J747" i="1" a="1"/>
  <c r="J747" i="1" s="1"/>
  <c r="J748" i="1" a="1"/>
  <c r="J748" i="1" s="1"/>
  <c r="J749" i="1" a="1"/>
  <c r="J749" i="1"/>
  <c r="J750" i="1" a="1"/>
  <c r="J750" i="1"/>
  <c r="J751" i="1" a="1"/>
  <c r="J751" i="1"/>
  <c r="J752" i="1" a="1"/>
  <c r="J752" i="1" s="1"/>
  <c r="J753" i="1" a="1"/>
  <c r="J753" i="1" s="1"/>
  <c r="J754" i="1" a="1"/>
  <c r="J754" i="1" s="1"/>
  <c r="J755" i="1" a="1"/>
  <c r="J755" i="1" s="1"/>
  <c r="J756" i="1" a="1"/>
  <c r="J756" i="1"/>
  <c r="J757" i="1" a="1"/>
  <c r="J757" i="1" s="1"/>
  <c r="J758" i="1" a="1"/>
  <c r="J758" i="1"/>
  <c r="J759" i="1" a="1"/>
  <c r="J759" i="1" s="1"/>
  <c r="J760" i="1" a="1"/>
  <c r="J760" i="1" s="1"/>
  <c r="J761" i="1" a="1"/>
  <c r="J761" i="1"/>
  <c r="J762" i="1" a="1"/>
  <c r="J762" i="1" s="1"/>
  <c r="J763" i="1" a="1"/>
  <c r="J763" i="1"/>
  <c r="J764" i="1" a="1"/>
  <c r="J764" i="1" s="1"/>
  <c r="J765" i="1" a="1"/>
  <c r="J765" i="1" s="1"/>
  <c r="J766" i="1" a="1"/>
  <c r="J766" i="1" s="1"/>
  <c r="J767" i="1" a="1"/>
  <c r="J767" i="1" s="1"/>
  <c r="J768" i="1" a="1"/>
  <c r="J768" i="1"/>
  <c r="J769" i="1" a="1"/>
  <c r="J769" i="1" s="1"/>
  <c r="J770" i="1" a="1"/>
  <c r="J770" i="1"/>
  <c r="J771" i="1" a="1"/>
  <c r="J771" i="1" s="1"/>
  <c r="J772" i="1" a="1"/>
  <c r="J772" i="1" s="1"/>
  <c r="J773" i="1" a="1"/>
  <c r="J773" i="1" s="1"/>
  <c r="J774" i="1" a="1"/>
  <c r="J774" i="1" s="1"/>
  <c r="J775" i="1" a="1"/>
  <c r="J775" i="1"/>
  <c r="J776" i="1" a="1"/>
  <c r="J776" i="1" s="1"/>
  <c r="J777" i="1" a="1"/>
  <c r="J777" i="1" s="1"/>
  <c r="J778" i="1" a="1"/>
  <c r="J778" i="1" s="1"/>
  <c r="J779" i="1" a="1"/>
  <c r="J779" i="1"/>
  <c r="J780" i="1" a="1"/>
  <c r="J780" i="1"/>
  <c r="J781" i="1" a="1"/>
  <c r="J781" i="1" s="1"/>
  <c r="J782" i="1" a="1"/>
  <c r="J782" i="1"/>
  <c r="J783" i="1" a="1"/>
  <c r="J783" i="1" s="1"/>
  <c r="J784" i="1" a="1"/>
  <c r="J784" i="1" s="1"/>
  <c r="J785" i="1" a="1"/>
  <c r="J785" i="1"/>
  <c r="J786" i="1" a="1"/>
  <c r="J786" i="1"/>
  <c r="J787" i="1" a="1"/>
  <c r="J787" i="1"/>
  <c r="J788" i="1" a="1"/>
  <c r="J788" i="1" s="1"/>
  <c r="J789" i="1" a="1"/>
  <c r="J789" i="1" s="1"/>
  <c r="J790" i="1" a="1"/>
  <c r="J790" i="1" s="1"/>
  <c r="J791" i="1" a="1"/>
  <c r="J791" i="1" s="1"/>
  <c r="J792" i="1" a="1"/>
  <c r="J792" i="1"/>
  <c r="J793" i="1" a="1"/>
  <c r="J793" i="1"/>
  <c r="J794" i="1" a="1"/>
  <c r="J794" i="1"/>
  <c r="J795" i="1" a="1"/>
  <c r="J795" i="1" s="1"/>
  <c r="J796" i="1" a="1"/>
  <c r="J796" i="1" s="1"/>
  <c r="J797" i="1" a="1"/>
  <c r="J797" i="1"/>
  <c r="J798" i="1" a="1"/>
  <c r="J798" i="1" s="1"/>
  <c r="J799" i="1" a="1"/>
  <c r="J799" i="1"/>
  <c r="J800" i="1" a="1"/>
  <c r="J800" i="1" s="1"/>
  <c r="J801" i="1" a="1"/>
  <c r="J801" i="1" s="1"/>
  <c r="J802" i="1" a="1"/>
  <c r="J802" i="1" s="1"/>
  <c r="J803" i="1" a="1"/>
  <c r="J803" i="1" s="1"/>
  <c r="J804" i="1" a="1"/>
  <c r="J804" i="1"/>
  <c r="J805" i="1" a="1"/>
  <c r="J805" i="1" s="1"/>
  <c r="J806" i="1" a="1"/>
  <c r="J806" i="1" s="1"/>
  <c r="J807" i="1" a="1"/>
  <c r="J807" i="1" s="1"/>
  <c r="J808" i="1" a="1"/>
  <c r="J808" i="1" s="1"/>
  <c r="J809" i="1" a="1"/>
  <c r="J809" i="1" s="1"/>
  <c r="J810" i="1" a="1"/>
  <c r="J810" i="1" s="1"/>
  <c r="J811" i="1" a="1"/>
  <c r="J811" i="1"/>
  <c r="J812" i="1" a="1"/>
  <c r="J812" i="1" s="1"/>
  <c r="J813" i="1" a="1"/>
  <c r="J813" i="1" s="1"/>
  <c r="J814" i="1" a="1"/>
  <c r="J814" i="1" s="1"/>
  <c r="J815" i="1" a="1"/>
  <c r="J815" i="1" s="1"/>
  <c r="J816" i="1" a="1"/>
  <c r="J816" i="1"/>
  <c r="J817" i="1" a="1"/>
  <c r="J817" i="1" s="1"/>
  <c r="J818" i="1" a="1"/>
  <c r="J818" i="1"/>
  <c r="J819" i="1" a="1"/>
  <c r="J819" i="1" s="1"/>
  <c r="J820" i="1" a="1"/>
  <c r="J820" i="1"/>
  <c r="J821" i="1" a="1"/>
  <c r="J821" i="1"/>
  <c r="J822" i="1" a="1"/>
  <c r="J822" i="1" s="1"/>
  <c r="J823" i="1" a="1"/>
  <c r="J823" i="1" s="1"/>
  <c r="J824" i="1" a="1"/>
  <c r="J824" i="1"/>
  <c r="J825" i="1" a="1"/>
  <c r="J825" i="1" s="1"/>
  <c r="J826" i="1" a="1"/>
  <c r="J826" i="1"/>
  <c r="J827" i="1" a="1"/>
  <c r="J827" i="1"/>
  <c r="J828" i="1" a="1"/>
  <c r="J828" i="1"/>
  <c r="J829" i="1" a="1"/>
  <c r="J829" i="1" s="1"/>
  <c r="J830" i="1" a="1"/>
  <c r="J830" i="1"/>
  <c r="J831" i="1" a="1"/>
  <c r="J831" i="1" s="1"/>
  <c r="J832" i="1" a="1"/>
  <c r="J832" i="1" s="1"/>
  <c r="J833" i="1" a="1"/>
  <c r="J833" i="1"/>
  <c r="J834" i="1" a="1"/>
  <c r="J834" i="1"/>
  <c r="J835" i="1" a="1"/>
  <c r="J835" i="1" s="1"/>
  <c r="J836" i="1" a="1"/>
  <c r="J836" i="1"/>
  <c r="J837" i="1" a="1"/>
  <c r="J837" i="1" s="1"/>
  <c r="J838" i="1" a="1"/>
  <c r="J838" i="1"/>
  <c r="J839" i="1" a="1"/>
  <c r="J839" i="1" s="1"/>
  <c r="J840" i="1" a="1"/>
  <c r="J840" i="1"/>
  <c r="J841" i="1" a="1"/>
  <c r="J841" i="1" s="1"/>
  <c r="J842" i="1" a="1"/>
  <c r="J842" i="1"/>
  <c r="J843" i="1" a="1"/>
  <c r="J843" i="1" s="1"/>
  <c r="J844" i="1" a="1"/>
  <c r="J844" i="1" s="1"/>
  <c r="J845" i="1" a="1"/>
  <c r="J845" i="1"/>
  <c r="J846" i="1" a="1"/>
  <c r="J846" i="1" s="1"/>
  <c r="J847" i="1" a="1"/>
  <c r="J847" i="1" s="1"/>
  <c r="J848" i="1" a="1"/>
  <c r="J848" i="1"/>
  <c r="J849" i="1" a="1"/>
  <c r="J849" i="1" s="1"/>
  <c r="J850" i="1" a="1"/>
  <c r="J850" i="1"/>
  <c r="J851" i="1" a="1"/>
  <c r="J851" i="1" s="1"/>
  <c r="J852" i="1" a="1"/>
  <c r="J852" i="1"/>
  <c r="J853" i="1" a="1"/>
  <c r="J853" i="1" s="1"/>
  <c r="J854" i="1" a="1"/>
  <c r="J854" i="1"/>
  <c r="J855" i="1" a="1"/>
  <c r="J855" i="1" s="1"/>
  <c r="J856" i="1" a="1"/>
  <c r="J856" i="1"/>
  <c r="J857" i="1" a="1"/>
  <c r="J857" i="1"/>
  <c r="J858" i="1" a="1"/>
  <c r="J858" i="1" s="1"/>
  <c r="J859" i="1" a="1"/>
  <c r="J859" i="1" s="1"/>
  <c r="J860" i="1" a="1"/>
  <c r="J860" i="1"/>
  <c r="J861" i="1" a="1"/>
  <c r="J861" i="1" s="1"/>
  <c r="J862" i="1" a="1"/>
  <c r="J862" i="1"/>
  <c r="J863" i="1" a="1"/>
  <c r="J863" i="1"/>
  <c r="J864" i="1" a="1"/>
  <c r="J864" i="1"/>
  <c r="J865" i="1" a="1"/>
  <c r="J865" i="1" s="1"/>
  <c r="J866" i="1" a="1"/>
  <c r="J866" i="1"/>
  <c r="J867" i="1" a="1"/>
  <c r="J867" i="1" s="1"/>
  <c r="J868" i="1" a="1"/>
  <c r="J868" i="1" s="1"/>
  <c r="J869" i="1" a="1"/>
  <c r="J869" i="1"/>
  <c r="J870" i="1" a="1"/>
  <c r="J870" i="1"/>
  <c r="J871" i="1" a="1"/>
  <c r="J871" i="1" s="1"/>
  <c r="J872" i="1" a="1"/>
  <c r="J872" i="1"/>
  <c r="J873" i="1" a="1"/>
  <c r="J873" i="1" s="1"/>
  <c r="J874" i="1" a="1"/>
  <c r="J874" i="1"/>
  <c r="J875" i="1" a="1"/>
  <c r="J875" i="1" s="1"/>
  <c r="J876" i="1" a="1"/>
  <c r="J876" i="1"/>
  <c r="J877" i="1" a="1"/>
  <c r="J877" i="1" s="1"/>
  <c r="J878" i="1" a="1"/>
  <c r="J878" i="1"/>
  <c r="J879" i="1" a="1"/>
  <c r="J879" i="1" s="1"/>
  <c r="J880" i="1" a="1"/>
  <c r="J880" i="1" s="1"/>
  <c r="J881" i="1" a="1"/>
  <c r="J881" i="1"/>
  <c r="J882" i="1" a="1"/>
  <c r="J882" i="1" s="1"/>
  <c r="J883" i="1" a="1"/>
  <c r="J883" i="1" s="1"/>
  <c r="J884" i="1" a="1"/>
  <c r="J884" i="1"/>
  <c r="J885" i="1" a="1"/>
  <c r="J885" i="1" s="1"/>
  <c r="J886" i="1" a="1"/>
  <c r="J886" i="1"/>
  <c r="J887" i="1" a="1"/>
  <c r="J887" i="1" s="1"/>
  <c r="J888" i="1" a="1"/>
  <c r="J888" i="1"/>
  <c r="J889" i="1" a="1"/>
  <c r="J889" i="1" s="1"/>
  <c r="J890" i="1" a="1"/>
  <c r="J890" i="1"/>
  <c r="J891" i="1" a="1"/>
  <c r="J891" i="1" s="1"/>
  <c r="J892" i="1" a="1"/>
  <c r="J892" i="1"/>
  <c r="J893" i="1" a="1"/>
  <c r="J893" i="1"/>
  <c r="J894" i="1" a="1"/>
  <c r="J894" i="1" s="1"/>
  <c r="J895" i="1" a="1"/>
  <c r="J895" i="1" s="1"/>
  <c r="J896" i="1" a="1"/>
  <c r="J896" i="1"/>
  <c r="J897" i="1" a="1"/>
  <c r="J897" i="1" s="1"/>
  <c r="J898" i="1" a="1"/>
  <c r="J898" i="1"/>
  <c r="J899" i="1" a="1"/>
  <c r="J899" i="1"/>
  <c r="J900" i="1" a="1"/>
  <c r="J900" i="1"/>
  <c r="J901" i="1" a="1"/>
  <c r="J901" i="1" s="1"/>
  <c r="J902" i="1" a="1"/>
  <c r="J902" i="1"/>
  <c r="J903" i="1" a="1"/>
  <c r="J903" i="1" s="1"/>
  <c r="J904" i="1" a="1"/>
  <c r="J904" i="1" s="1"/>
  <c r="J905" i="1" a="1"/>
  <c r="J905" i="1"/>
  <c r="J906" i="1" a="1"/>
  <c r="J906" i="1"/>
  <c r="J907" i="1" a="1"/>
  <c r="J907" i="1" s="1"/>
  <c r="J908" i="1" a="1"/>
  <c r="J908" i="1"/>
  <c r="J909" i="1" a="1"/>
  <c r="J909" i="1" s="1"/>
  <c r="J910" i="1" a="1"/>
  <c r="J910" i="1"/>
  <c r="J911" i="1" a="1"/>
  <c r="J911" i="1" s="1"/>
  <c r="J912" i="1" a="1"/>
  <c r="J912" i="1"/>
  <c r="J913" i="1" a="1"/>
  <c r="J913" i="1" s="1"/>
  <c r="J914" i="1" a="1"/>
  <c r="J914" i="1"/>
  <c r="J915" i="1" a="1"/>
  <c r="J915" i="1" s="1"/>
  <c r="J916" i="1" a="1"/>
  <c r="J916" i="1" s="1"/>
  <c r="J917" i="1" a="1"/>
  <c r="J917" i="1"/>
  <c r="J918" i="1" a="1"/>
  <c r="J918" i="1" s="1"/>
  <c r="J919" i="1" a="1"/>
  <c r="J919" i="1" s="1"/>
  <c r="J920" i="1" a="1"/>
  <c r="J920" i="1"/>
  <c r="J921" i="1" a="1"/>
  <c r="J921" i="1" s="1"/>
  <c r="J922" i="1" a="1"/>
  <c r="J922" i="1"/>
  <c r="J923" i="1" a="1"/>
  <c r="J923" i="1" s="1"/>
  <c r="J924" i="1" a="1"/>
  <c r="J924" i="1"/>
  <c r="J925" i="1" a="1"/>
  <c r="J925" i="1" s="1"/>
  <c r="J926" i="1" a="1"/>
  <c r="J926" i="1"/>
  <c r="J927" i="1" a="1"/>
  <c r="J927" i="1" s="1"/>
  <c r="J928" i="1" a="1"/>
  <c r="J928" i="1"/>
  <c r="J929" i="1" a="1"/>
  <c r="J929" i="1"/>
  <c r="J930" i="1" a="1"/>
  <c r="J930" i="1" s="1"/>
  <c r="J931" i="1" a="1"/>
  <c r="J931" i="1" s="1"/>
  <c r="J932" i="1" a="1"/>
  <c r="J932" i="1"/>
  <c r="J933" i="1" a="1"/>
  <c r="J933" i="1" s="1"/>
  <c r="J934" i="1" a="1"/>
  <c r="J934" i="1"/>
  <c r="J935" i="1" a="1"/>
  <c r="J935" i="1"/>
  <c r="J936" i="1" a="1"/>
  <c r="J936" i="1"/>
  <c r="J937" i="1" a="1"/>
  <c r="J937" i="1" s="1"/>
  <c r="J938" i="1" a="1"/>
  <c r="J938" i="1"/>
  <c r="J939" i="1" a="1"/>
  <c r="J939" i="1" s="1"/>
  <c r="J940" i="1" a="1"/>
  <c r="J940" i="1" s="1"/>
  <c r="J941" i="1" a="1"/>
  <c r="J941" i="1"/>
  <c r="J942" i="1" a="1"/>
  <c r="J942" i="1"/>
  <c r="J943" i="1" a="1"/>
  <c r="J943" i="1" s="1"/>
  <c r="J944" i="1" a="1"/>
  <c r="J944" i="1"/>
  <c r="J945" i="1" a="1"/>
  <c r="J945" i="1" s="1"/>
  <c r="J946" i="1" a="1"/>
  <c r="J946" i="1"/>
  <c r="J947" i="1" a="1"/>
  <c r="J947" i="1" s="1"/>
  <c r="J948" i="1" a="1"/>
  <c r="J948" i="1"/>
  <c r="J949" i="1" a="1"/>
  <c r="J949" i="1" s="1"/>
  <c r="J950" i="1" a="1"/>
  <c r="J950" i="1"/>
  <c r="J951" i="1" a="1"/>
  <c r="J951" i="1"/>
  <c r="J952" i="1" a="1"/>
  <c r="J952" i="1"/>
  <c r="J953" i="1" a="1"/>
  <c r="J953" i="1"/>
  <c r="J954" i="1" a="1"/>
  <c r="J954" i="1"/>
  <c r="J955" i="1" a="1"/>
  <c r="J955" i="1" s="1"/>
  <c r="J956" i="1" a="1"/>
  <c r="J956" i="1"/>
  <c r="J957" i="1" a="1"/>
  <c r="J957" i="1"/>
  <c r="J958" i="1" a="1"/>
  <c r="J958" i="1" s="1"/>
  <c r="J959" i="1" a="1"/>
  <c r="J959" i="1"/>
  <c r="J960" i="1" a="1"/>
  <c r="J960" i="1" s="1"/>
  <c r="J961" i="1" a="1"/>
  <c r="J961" i="1" s="1"/>
  <c r="J962" i="1" a="1"/>
  <c r="J962" i="1"/>
  <c r="J963" i="1" a="1"/>
  <c r="J963" i="1"/>
  <c r="J964" i="1" a="1"/>
  <c r="J964" i="1"/>
  <c r="J965" i="1" a="1"/>
  <c r="J965" i="1"/>
  <c r="J966" i="1" a="1"/>
  <c r="J966" i="1"/>
  <c r="J967" i="1" a="1"/>
  <c r="J967" i="1" s="1"/>
  <c r="J968" i="1" a="1"/>
  <c r="J968" i="1"/>
  <c r="J969" i="1" a="1"/>
  <c r="J969" i="1"/>
  <c r="J970" i="1" a="1"/>
  <c r="J970" i="1"/>
  <c r="J971" i="1" a="1"/>
  <c r="J971" i="1" s="1"/>
  <c r="J972" i="1" a="1"/>
  <c r="J972" i="1"/>
  <c r="J973" i="1" a="1"/>
  <c r="J973" i="1" s="1"/>
  <c r="J974" i="1" a="1"/>
  <c r="J974" i="1"/>
  <c r="J975" i="1" a="1"/>
  <c r="J975" i="1"/>
  <c r="J976" i="1" a="1"/>
  <c r="J976" i="1"/>
  <c r="J977" i="1" a="1"/>
  <c r="J977" i="1"/>
  <c r="J978" i="1" a="1"/>
  <c r="J978" i="1"/>
  <c r="J979" i="1" a="1"/>
  <c r="J979" i="1"/>
  <c r="J980" i="1" a="1"/>
  <c r="J980" i="1"/>
  <c r="J981" i="1" a="1"/>
  <c r="J981" i="1"/>
  <c r="J982" i="1" a="1"/>
  <c r="J982" i="1"/>
  <c r="J983" i="1" a="1"/>
  <c r="J983" i="1"/>
  <c r="J984" i="1" a="1"/>
  <c r="J984" i="1"/>
  <c r="J985" i="1" a="1"/>
  <c r="J985" i="1"/>
  <c r="J986" i="1" a="1"/>
  <c r="J986" i="1"/>
  <c r="J987" i="1" a="1"/>
  <c r="J987" i="1"/>
  <c r="J988" i="1" a="1"/>
  <c r="J988" i="1"/>
  <c r="J989" i="1" a="1"/>
  <c r="J989" i="1"/>
  <c r="J990" i="1" a="1"/>
  <c r="J990" i="1"/>
  <c r="J991" i="1" a="1"/>
  <c r="J991" i="1"/>
  <c r="J992" i="1" a="1"/>
  <c r="J992" i="1"/>
  <c r="J993" i="1" a="1"/>
  <c r="J993" i="1"/>
  <c r="J994" i="1" a="1"/>
  <c r="J994" i="1"/>
  <c r="J995" i="1" a="1"/>
  <c r="J995" i="1"/>
  <c r="J996" i="1" a="1"/>
  <c r="J996" i="1"/>
  <c r="J997" i="1" a="1"/>
  <c r="J997" i="1"/>
  <c r="J998" i="1" a="1"/>
  <c r="J998" i="1"/>
  <c r="J999" i="1" a="1"/>
  <c r="J999" i="1"/>
  <c r="J1000" i="1" a="1"/>
  <c r="J1000" i="1"/>
  <c r="J1001" i="1" a="1"/>
  <c r="J1001" i="1"/>
  <c r="J1002" i="1" a="1"/>
  <c r="J1002" i="1" s="1"/>
  <c r="J1003" i="1" a="1"/>
  <c r="J1003" i="1"/>
  <c r="J1004" i="1" a="1"/>
  <c r="J1004" i="1"/>
  <c r="J1005" i="1" a="1"/>
  <c r="J1005" i="1"/>
  <c r="J1006" i="1" a="1"/>
  <c r="J1006" i="1"/>
  <c r="J1007" i="1" a="1"/>
  <c r="J1007" i="1"/>
  <c r="J1008" i="1" a="1"/>
  <c r="J1008" i="1" s="1"/>
  <c r="J1009" i="1" a="1"/>
  <c r="J1009" i="1"/>
  <c r="J1010" i="1" a="1"/>
  <c r="J1010" i="1"/>
  <c r="J1011" i="1" a="1"/>
  <c r="J1011" i="1"/>
  <c r="J1012" i="1" a="1"/>
  <c r="J1012" i="1"/>
  <c r="J1013" i="1" a="1"/>
  <c r="J1013" i="1"/>
  <c r="J1014" i="1" a="1"/>
  <c r="J1014" i="1" s="1"/>
  <c r="J1015" i="1" a="1"/>
  <c r="J1015" i="1"/>
  <c r="J1016" i="1" a="1"/>
  <c r="J1016" i="1"/>
  <c r="J1017" i="1" a="1"/>
  <c r="J1017" i="1"/>
  <c r="J1018" i="1" a="1"/>
  <c r="J1018" i="1"/>
  <c r="J1019" i="1" a="1"/>
  <c r="J1019" i="1"/>
  <c r="J1020" i="1" a="1"/>
  <c r="J1020" i="1" s="1"/>
  <c r="J1021" i="1" a="1"/>
  <c r="J1021" i="1"/>
  <c r="J1022" i="1" a="1"/>
  <c r="J1022" i="1"/>
  <c r="J1023" i="1" a="1"/>
  <c r="J1023" i="1"/>
  <c r="J1024" i="1" a="1"/>
  <c r="J1024" i="1"/>
  <c r="J1025" i="1" a="1"/>
  <c r="J1025" i="1"/>
  <c r="J1026" i="1" a="1"/>
  <c r="J1026" i="1" s="1"/>
  <c r="J1027" i="1" a="1"/>
  <c r="J1027" i="1"/>
  <c r="J1028" i="1" a="1"/>
  <c r="J1028" i="1"/>
  <c r="J1029" i="1" a="1"/>
  <c r="J1029" i="1"/>
  <c r="J1030" i="1" a="1"/>
  <c r="J1030" i="1"/>
  <c r="J1031" i="1" a="1"/>
  <c r="J1031" i="1"/>
  <c r="J1032" i="1" a="1"/>
  <c r="J1032" i="1" s="1"/>
  <c r="J1033" i="1" a="1"/>
  <c r="J1033" i="1"/>
  <c r="J1034" i="1" a="1"/>
  <c r="J1034" i="1"/>
  <c r="J1035" i="1" a="1"/>
  <c r="J1035" i="1"/>
  <c r="J1036" i="1" a="1"/>
  <c r="J1036" i="1"/>
  <c r="J1037" i="1" a="1"/>
  <c r="J1037" i="1"/>
  <c r="J1038" i="1" a="1"/>
  <c r="J1038" i="1" s="1"/>
  <c r="J1039" i="1" a="1"/>
  <c r="J1039" i="1"/>
  <c r="J1040" i="1" a="1"/>
  <c r="J1040" i="1"/>
  <c r="J1041" i="1" a="1"/>
  <c r="J1041" i="1"/>
  <c r="J1042" i="1" a="1"/>
  <c r="J1042" i="1"/>
  <c r="J1043" i="1" a="1"/>
  <c r="J1043" i="1"/>
  <c r="J1044" i="1" a="1"/>
  <c r="J1044" i="1" s="1"/>
  <c r="J1045" i="1" a="1"/>
  <c r="J1045" i="1"/>
  <c r="J1046" i="1" a="1"/>
  <c r="J1046" i="1"/>
  <c r="J1047" i="1" a="1"/>
  <c r="J1047" i="1"/>
  <c r="J1048" i="1" a="1"/>
  <c r="J1048" i="1"/>
  <c r="J1049" i="1" a="1"/>
  <c r="J1049" i="1"/>
  <c r="J1050" i="1" a="1"/>
  <c r="J1050" i="1" s="1"/>
  <c r="J1051" i="1" a="1"/>
  <c r="J1051" i="1"/>
  <c r="J1052" i="1" a="1"/>
  <c r="J1052" i="1"/>
  <c r="J1053" i="1" a="1"/>
  <c r="J1053" i="1"/>
  <c r="J1054" i="1" a="1"/>
  <c r="J1054" i="1"/>
  <c r="J1055" i="1" a="1"/>
  <c r="J1055" i="1"/>
  <c r="J1056" i="1" a="1"/>
  <c r="J1056" i="1" s="1"/>
  <c r="J1057" i="1" a="1"/>
  <c r="J1057" i="1"/>
  <c r="J1058" i="1" a="1"/>
  <c r="J1058" i="1"/>
  <c r="J1059" i="1" a="1"/>
  <c r="J1059" i="1"/>
  <c r="J1060" i="1" a="1"/>
  <c r="J1060" i="1"/>
  <c r="J1061" i="1" a="1"/>
  <c r="J1061" i="1"/>
  <c r="J1062" i="1" a="1"/>
  <c r="J1062" i="1" s="1"/>
  <c r="J1063" i="1" a="1"/>
  <c r="J1063" i="1"/>
  <c r="J1064" i="1" a="1"/>
  <c r="J1064" i="1"/>
  <c r="J1065" i="1" a="1"/>
  <c r="J1065" i="1"/>
  <c r="J1066" i="1" a="1"/>
  <c r="J1066" i="1"/>
  <c r="J1067" i="1" a="1"/>
  <c r="J1067" i="1"/>
  <c r="J1068" i="1" a="1"/>
  <c r="J1068" i="1" s="1"/>
  <c r="J1069" i="1" a="1"/>
  <c r="J1069" i="1"/>
  <c r="J1070" i="1" a="1"/>
  <c r="J1070" i="1"/>
  <c r="J1071" i="1" a="1"/>
  <c r="J1071" i="1"/>
  <c r="J1072" i="1" a="1"/>
  <c r="J1072" i="1"/>
  <c r="J1073" i="1" a="1"/>
  <c r="J1073" i="1"/>
  <c r="J1074" i="1" a="1"/>
  <c r="J1074" i="1" s="1"/>
  <c r="J1075" i="1" a="1"/>
  <c r="J1075" i="1"/>
  <c r="J1076" i="1" a="1"/>
  <c r="J1076" i="1"/>
  <c r="J1077" i="1" a="1"/>
  <c r="J1077" i="1"/>
  <c r="J1078" i="1" a="1"/>
  <c r="J1078" i="1"/>
  <c r="J1079" i="1" a="1"/>
  <c r="J1079" i="1"/>
  <c r="J1080" i="1" a="1"/>
  <c r="J1080" i="1" s="1"/>
  <c r="J1081" i="1" a="1"/>
  <c r="J1081" i="1"/>
  <c r="J1082" i="1" a="1"/>
  <c r="J1082" i="1"/>
  <c r="J1083" i="1" a="1"/>
  <c r="J1083" i="1"/>
  <c r="J1084" i="1" a="1"/>
  <c r="J1084" i="1"/>
  <c r="J1085" i="1" a="1"/>
  <c r="J1085" i="1"/>
  <c r="J1086" i="1" a="1"/>
  <c r="J1086" i="1" s="1"/>
  <c r="J1087" i="1" a="1"/>
  <c r="J1087" i="1"/>
  <c r="J1088" i="1" a="1"/>
  <c r="J1088" i="1"/>
  <c r="J1089" i="1" a="1"/>
  <c r="J1089" i="1"/>
  <c r="J1090" i="1" a="1"/>
  <c r="J1090" i="1"/>
  <c r="J1091" i="1" a="1"/>
  <c r="J1091" i="1"/>
  <c r="J1092" i="1" a="1"/>
  <c r="J1092" i="1" s="1"/>
  <c r="J1093" i="1" a="1"/>
  <c r="J1093" i="1"/>
  <c r="J1094" i="1" a="1"/>
  <c r="J1094" i="1"/>
  <c r="J1095" i="1" a="1"/>
  <c r="J1095" i="1"/>
  <c r="J1096" i="1" a="1"/>
  <c r="J1096" i="1"/>
  <c r="J1097" i="1" a="1"/>
  <c r="J1097" i="1"/>
  <c r="J1098" i="1" a="1"/>
  <c r="J1098" i="1" s="1"/>
  <c r="J1099" i="1" a="1"/>
  <c r="J1099" i="1"/>
  <c r="J1100" i="1" a="1"/>
  <c r="J1100" i="1"/>
  <c r="J1101" i="1" a="1"/>
  <c r="J1101" i="1"/>
  <c r="J1102" i="1" a="1"/>
  <c r="J1102" i="1"/>
  <c r="J1103" i="1" a="1"/>
  <c r="J1103" i="1"/>
  <c r="J1104" i="1" a="1"/>
  <c r="J1104" i="1" s="1"/>
  <c r="J1105" i="1" a="1"/>
  <c r="J1105" i="1"/>
  <c r="J1106" i="1" a="1"/>
  <c r="J1106" i="1"/>
  <c r="J1107" i="1" a="1"/>
  <c r="J1107" i="1"/>
  <c r="J1108" i="1" a="1"/>
  <c r="J1108" i="1"/>
  <c r="J1109" i="1" a="1"/>
  <c r="J1109" i="1"/>
  <c r="J1110" i="1" a="1"/>
  <c r="J1110" i="1" s="1"/>
  <c r="J1111" i="1" a="1"/>
  <c r="J1111" i="1"/>
  <c r="J1112" i="1" a="1"/>
  <c r="J1112" i="1"/>
  <c r="J1113" i="1" a="1"/>
  <c r="J1113" i="1"/>
  <c r="J1114" i="1" a="1"/>
  <c r="J1114" i="1"/>
  <c r="J1115" i="1" a="1"/>
  <c r="J1115" i="1"/>
  <c r="J1116" i="1" a="1"/>
  <c r="J1116" i="1" s="1"/>
  <c r="J1117" i="1" a="1"/>
  <c r="J1117" i="1"/>
  <c r="J1118" i="1" a="1"/>
  <c r="J1118" i="1"/>
  <c r="J1119" i="1" a="1"/>
  <c r="J1119" i="1"/>
  <c r="J1120" i="1" a="1"/>
  <c r="J1120" i="1"/>
  <c r="J1121" i="1" a="1"/>
  <c r="J1121" i="1"/>
  <c r="J1122" i="1" a="1"/>
  <c r="J1122" i="1" s="1"/>
  <c r="J1123" i="1" a="1"/>
  <c r="J1123" i="1"/>
  <c r="J1124" i="1" a="1"/>
  <c r="J1124" i="1"/>
  <c r="J1125" i="1" a="1"/>
  <c r="J1125" i="1"/>
  <c r="J1126" i="1" a="1"/>
  <c r="J1126" i="1"/>
  <c r="J1127" i="1" a="1"/>
  <c r="J1127" i="1"/>
  <c r="J1128" i="1" a="1"/>
  <c r="J1128" i="1" s="1"/>
  <c r="J1129" i="1" a="1"/>
  <c r="J1129" i="1"/>
  <c r="J1130" i="1" a="1"/>
  <c r="J1130" i="1"/>
  <c r="J1131" i="1" a="1"/>
  <c r="J1131" i="1"/>
  <c r="J1132" i="1" a="1"/>
  <c r="J1132" i="1"/>
  <c r="J1133" i="1" a="1"/>
  <c r="J1133" i="1"/>
  <c r="J1134" i="1" a="1"/>
  <c r="J1134" i="1" s="1"/>
  <c r="J1135" i="1" a="1"/>
  <c r="J1135" i="1"/>
  <c r="J1136" i="1" a="1"/>
  <c r="J1136" i="1"/>
  <c r="J1137" i="1" a="1"/>
  <c r="J1137" i="1"/>
  <c r="J1138" i="1" a="1"/>
  <c r="J1138" i="1"/>
  <c r="J1139" i="1" a="1"/>
  <c r="J1139" i="1"/>
  <c r="J1140" i="1" a="1"/>
  <c r="J1140" i="1" s="1"/>
  <c r="J1141" i="1" a="1"/>
  <c r="J1141" i="1"/>
  <c r="J1142" i="1" a="1"/>
  <c r="J1142" i="1"/>
  <c r="J1143" i="1" a="1"/>
  <c r="J1143" i="1"/>
  <c r="J1144" i="1" a="1"/>
  <c r="J1144" i="1"/>
  <c r="J1145" i="1" a="1"/>
  <c r="J1145" i="1"/>
  <c r="J1146" i="1" a="1"/>
  <c r="J1146" i="1" s="1"/>
  <c r="J1147" i="1" a="1"/>
  <c r="J1147" i="1"/>
  <c r="J1148" i="1" a="1"/>
  <c r="J1148" i="1"/>
  <c r="J1149" i="1" a="1"/>
  <c r="J1149" i="1"/>
  <c r="J1150" i="1" a="1"/>
  <c r="J1150" i="1"/>
  <c r="J1151" i="1" a="1"/>
  <c r="J1151" i="1"/>
  <c r="J1152" i="1" a="1"/>
  <c r="J1152" i="1" s="1"/>
  <c r="J1153" i="1" a="1"/>
  <c r="J1153" i="1"/>
  <c r="J1154" i="1" a="1"/>
  <c r="J1154" i="1"/>
  <c r="J1155" i="1" a="1"/>
  <c r="J1155" i="1"/>
  <c r="J1156" i="1" a="1"/>
  <c r="J1156" i="1"/>
  <c r="J1157" i="1" a="1"/>
  <c r="J1157" i="1"/>
  <c r="J1158" i="1" a="1"/>
  <c r="J1158" i="1" s="1"/>
  <c r="J1159" i="1" a="1"/>
  <c r="J1159" i="1"/>
  <c r="J1160" i="1" a="1"/>
  <c r="J1160" i="1"/>
  <c r="J1161" i="1" a="1"/>
  <c r="J1161" i="1"/>
  <c r="J1162" i="1" a="1"/>
  <c r="J1162" i="1"/>
  <c r="J1163" i="1" a="1"/>
  <c r="J1163" i="1"/>
  <c r="J1164" i="1" a="1"/>
  <c r="J1164" i="1" s="1"/>
  <c r="J1165" i="1" a="1"/>
  <c r="J1165" i="1"/>
  <c r="J1166" i="1" a="1"/>
  <c r="J1166" i="1"/>
  <c r="J1167" i="1" a="1"/>
  <c r="J1167" i="1"/>
  <c r="J1168" i="1" a="1"/>
  <c r="J1168" i="1"/>
  <c r="J1169" i="1" a="1"/>
  <c r="J1169" i="1"/>
  <c r="J1170" i="1" a="1"/>
  <c r="J1170" i="1" s="1"/>
  <c r="J1171" i="1" a="1"/>
  <c r="J1171" i="1"/>
  <c r="J1172" i="1" a="1"/>
  <c r="J1172" i="1"/>
  <c r="J1173" i="1" a="1"/>
  <c r="J1173" i="1"/>
  <c r="J1174" i="1" a="1"/>
  <c r="J1174" i="1"/>
  <c r="J1175" i="1" a="1"/>
  <c r="J1175" i="1"/>
  <c r="J1176" i="1" a="1"/>
  <c r="J1176" i="1" s="1"/>
  <c r="J1177" i="1" a="1"/>
  <c r="J1177" i="1"/>
  <c r="J1178" i="1" a="1"/>
  <c r="J1178" i="1"/>
  <c r="J1179" i="1" a="1"/>
  <c r="J1179" i="1"/>
  <c r="J1180" i="1" a="1"/>
  <c r="J1180" i="1"/>
  <c r="J1181" i="1" a="1"/>
  <c r="J1181" i="1"/>
  <c r="J1182" i="1" a="1"/>
  <c r="J1182" i="1" s="1"/>
  <c r="J1183" i="1" a="1"/>
  <c r="J1183" i="1"/>
  <c r="J1184" i="1" a="1"/>
  <c r="J1184" i="1"/>
  <c r="J1185" i="1" a="1"/>
  <c r="J1185" i="1"/>
  <c r="J1186" i="1" a="1"/>
  <c r="J1186" i="1"/>
  <c r="J1187" i="1" a="1"/>
  <c r="J1187" i="1"/>
  <c r="J1188" i="1" a="1"/>
  <c r="J1188" i="1" s="1"/>
  <c r="J1189" i="1" a="1"/>
  <c r="J1189" i="1"/>
  <c r="J1190" i="1" a="1"/>
  <c r="J1190" i="1"/>
  <c r="J1191" i="1" a="1"/>
  <c r="J1191" i="1"/>
  <c r="J1192" i="1" a="1"/>
  <c r="J1192" i="1"/>
  <c r="J1193" i="1" a="1"/>
  <c r="J1193" i="1"/>
  <c r="J1194" i="1" a="1"/>
  <c r="J1194" i="1" s="1"/>
  <c r="J1195" i="1" a="1"/>
  <c r="J1195" i="1"/>
  <c r="J1196" i="1" a="1"/>
  <c r="J1196" i="1"/>
  <c r="J1197" i="1" a="1"/>
  <c r="J1197" i="1"/>
  <c r="J1198" i="1" a="1"/>
  <c r="J1198" i="1"/>
  <c r="J1199" i="1" a="1"/>
  <c r="J1199" i="1"/>
  <c r="J1200" i="1" a="1"/>
  <c r="J1200" i="1" s="1"/>
  <c r="J1201" i="1" a="1"/>
  <c r="J1201" i="1"/>
  <c r="J1202" i="1" a="1"/>
  <c r="J1202" i="1"/>
  <c r="J1203" i="1" a="1"/>
  <c r="J1203" i="1"/>
  <c r="J1204" i="1" a="1"/>
  <c r="J1204" i="1"/>
  <c r="J1205" i="1" a="1"/>
  <c r="J1205" i="1"/>
  <c r="J1206" i="1" a="1"/>
  <c r="J1206" i="1" s="1"/>
  <c r="J1207" i="1" a="1"/>
  <c r="J1207" i="1"/>
  <c r="J1208" i="1" a="1"/>
  <c r="J1208" i="1"/>
  <c r="J1209" i="1" a="1"/>
  <c r="J1209" i="1"/>
  <c r="J1210" i="1" a="1"/>
  <c r="J1210" i="1"/>
  <c r="J1211" i="1" a="1"/>
  <c r="J1211" i="1"/>
  <c r="J1212" i="1" a="1"/>
  <c r="J1212" i="1" s="1"/>
  <c r="J1213" i="1" a="1"/>
  <c r="J1213" i="1"/>
  <c r="J1214" i="1" a="1"/>
  <c r="J1214" i="1"/>
  <c r="J1215" i="1" a="1"/>
  <c r="J1215" i="1"/>
  <c r="J1216" i="1" a="1"/>
  <c r="J1216" i="1"/>
  <c r="J1217" i="1" a="1"/>
  <c r="J1217" i="1"/>
  <c r="J1218" i="1" a="1"/>
  <c r="J1218" i="1" s="1"/>
  <c r="J1219" i="1" a="1"/>
  <c r="J1219" i="1"/>
  <c r="J1220" i="1" a="1"/>
  <c r="J1220" i="1"/>
  <c r="J1221" i="1" a="1"/>
  <c r="J1221" i="1"/>
  <c r="J1222" i="1" a="1"/>
  <c r="J1222" i="1"/>
  <c r="J1223" i="1" a="1"/>
  <c r="J1223" i="1"/>
  <c r="J1224" i="1" a="1"/>
  <c r="J1224" i="1" s="1"/>
  <c r="J1225" i="1" a="1"/>
  <c r="J1225" i="1"/>
  <c r="J1226" i="1" a="1"/>
  <c r="J1226" i="1"/>
  <c r="J1227" i="1" a="1"/>
  <c r="J1227" i="1"/>
  <c r="J1228" i="1" a="1"/>
  <c r="J1228" i="1"/>
  <c r="J1229" i="1" a="1"/>
  <c r="J1229" i="1"/>
  <c r="J1230" i="1" a="1"/>
  <c r="J1230" i="1" s="1"/>
  <c r="J1231" i="1" a="1"/>
  <c r="J1231" i="1"/>
  <c r="J1232" i="1" a="1"/>
  <c r="J1232" i="1"/>
  <c r="J1233" i="1" a="1"/>
  <c r="J1233" i="1"/>
  <c r="J1234" i="1" a="1"/>
  <c r="J1234" i="1"/>
  <c r="J1235" i="1" a="1"/>
  <c r="J1235" i="1"/>
  <c r="J1236" i="1" a="1"/>
  <c r="J1236" i="1" s="1"/>
  <c r="J1237" i="1" a="1"/>
  <c r="J1237" i="1"/>
  <c r="J1238" i="1" a="1"/>
  <c r="J1238" i="1"/>
  <c r="J1239" i="1" a="1"/>
  <c r="J1239" i="1"/>
  <c r="J1240" i="1" a="1"/>
  <c r="J1240" i="1"/>
  <c r="J1241" i="1" a="1"/>
  <c r="J1241" i="1"/>
  <c r="J1242" i="1" a="1"/>
  <c r="J1242" i="1" s="1"/>
  <c r="J1243" i="1" a="1"/>
  <c r="J1243" i="1"/>
  <c r="J1244" i="1" a="1"/>
  <c r="J1244" i="1"/>
  <c r="J1245" i="1" a="1"/>
  <c r="J1245" i="1"/>
  <c r="J1246" i="1" a="1"/>
  <c r="J1246" i="1"/>
  <c r="J1247" i="1" a="1"/>
  <c r="J1247" i="1"/>
  <c r="J1248" i="1" a="1"/>
  <c r="J1248" i="1" s="1"/>
  <c r="J1249" i="1" a="1"/>
  <c r="J1249" i="1"/>
  <c r="J1250" i="1" a="1"/>
  <c r="J1250" i="1"/>
  <c r="J1251" i="1" a="1"/>
  <c r="J1251" i="1"/>
  <c r="J1252" i="1" a="1"/>
  <c r="J1252" i="1"/>
  <c r="J1253" i="1" a="1"/>
  <c r="J1253" i="1"/>
  <c r="J1254" i="1" a="1"/>
  <c r="J1254" i="1" s="1"/>
  <c r="J1255" i="1" a="1"/>
  <c r="J1255" i="1"/>
  <c r="J1256" i="1" a="1"/>
  <c r="J1256" i="1"/>
  <c r="J1257" i="1" a="1"/>
  <c r="J1257" i="1"/>
  <c r="J1258" i="1" a="1"/>
  <c r="J1258" i="1"/>
  <c r="J1259" i="1" a="1"/>
  <c r="J1259" i="1"/>
  <c r="J1260" i="1" a="1"/>
  <c r="J1260" i="1" s="1"/>
  <c r="J1261" i="1" a="1"/>
  <c r="J1261" i="1"/>
  <c r="J1262" i="1" a="1"/>
  <c r="J1262" i="1"/>
  <c r="J1263" i="1" a="1"/>
  <c r="J1263" i="1"/>
  <c r="J1264" i="1" a="1"/>
  <c r="J1264" i="1"/>
  <c r="J1265" i="1" a="1"/>
  <c r="J1265" i="1"/>
  <c r="J1266" i="1" a="1"/>
  <c r="J1266" i="1" s="1"/>
  <c r="J1267" i="1" a="1"/>
  <c r="J1267" i="1"/>
  <c r="J1268" i="1" a="1"/>
  <c r="J1268" i="1"/>
  <c r="J1269" i="1" a="1"/>
  <c r="J1269" i="1"/>
  <c r="J1270" i="1" a="1"/>
  <c r="J1270" i="1"/>
  <c r="J1271" i="1" a="1"/>
  <c r="J1271" i="1"/>
  <c r="J1272" i="1" a="1"/>
  <c r="J127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J2" i="1" a="1"/>
  <c r="J2" i="1" s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<sst xmlns="http://schemas.openxmlformats.org/spreadsheetml/2006/main" count="2552" uniqueCount="16">
  <si>
    <t>년월</t>
  </si>
  <si>
    <t>노선</t>
  </si>
  <si>
    <t>발매-년월</t>
  </si>
  <si>
    <t>Class Type</t>
  </si>
  <si>
    <t>발매건수</t>
  </si>
  <si>
    <t>A/R</t>
  </si>
  <si>
    <t>발매수입</t>
  </si>
  <si>
    <t>FSC</t>
  </si>
  <si>
    <t>ICN-CXR V.V</t>
  </si>
  <si>
    <t>Group</t>
  </si>
  <si>
    <t>Individual</t>
  </si>
  <si>
    <t>CJJ-CXR V.V</t>
  </si>
  <si>
    <t>TAE-CXR V.V</t>
  </si>
  <si>
    <t>PUS-CXR V.V</t>
  </si>
  <si>
    <t>발매시점(일)</t>
    <phoneticPr fontId="3" type="noConversion"/>
  </si>
  <si>
    <t>발매시점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</si>
</sst>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"/>
  </numFmts>
  <fonts count="4" x14ac:knownFonts="1">
    <font>
      <sz val="11"/>
      <color theme="1"/>
      <name val="맑은 고딕"/>
      <family val="2"/>
      <scheme val="minor"/>
    </font>
    <font>
      <b/>
      <sz val="10"/>
      <color rgb="FF363636"/>
      <name val="맑은 고딕"/>
      <family val="2"/>
    </font>
    <font>
      <sz val="10"/>
      <color rgb="FF363636"/>
      <name val="맑은 고딕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medium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76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3" fontId="2" fillId="3" borderId="3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72"/>
  <sheetViews>
    <sheetView tabSelected="1" topLeftCell="A387" workbookViewId="0">
      <selection activeCell="L6" sqref="L6"/>
    </sheetView>
  </sheetViews>
  <sheetFormatPr defaultRowHeight="16.5" x14ac:dyDescent="0.3"/>
  <cols>
    <col min="1" max="1" width="13.75" customWidth="1"/>
    <col min="2" max="2" width="17.875" customWidth="1"/>
    <col min="3" max="4" width="13.75" customWidth="1"/>
    <col min="5" max="5" width="13" customWidth="1"/>
    <col min="6" max="6" width="15.375" customWidth="1"/>
    <col min="7" max="7" width="19.375" customWidth="1"/>
    <col min="8" max="8" width="18.125" customWidth="1"/>
  </cols>
  <sheetData>
    <row r="1" spans="1:10" ht="35.2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14</v>
      </c>
      <c r="J1" s="7" t="s">
        <v>15</v>
      </c>
    </row>
    <row r="2" spans="1:10" ht="17.649999999999999" customHeight="1" x14ac:dyDescent="0.3">
      <c r="A2" s="4">
        <v>45292</v>
      </c>
      <c r="B2" s="5" t="s">
        <v>8</v>
      </c>
      <c r="C2" s="4">
        <v>45200</v>
      </c>
      <c r="D2" s="5" t="s">
        <v>9</v>
      </c>
      <c r="E2" s="6">
        <v>38</v>
      </c>
      <c r="F2" s="6">
        <v>280673.68421052629</v>
      </c>
      <c r="G2" s="6">
        <v>10665600</v>
      </c>
      <c r="H2" s="6">
        <v>2325600</v>
      </c>
      <c r="I2" s="6">
        <f>A2-C2</f>
        <v>92</v>
      </c>
      <c r="J2" t="str" cm="1">
        <f t="array" ref="J2">_xlfn.IFS(
AND(I2&gt;=89,I2&lt;=92),"D-90",
AND(I2&gt;=58,I2&lt;=62),"D-60",
AND(I2&gt;=28,I2&lt;=32),"D-30",
AND(I2=0),"당월",
TRUE,"그외")</f>
        <v>D-90</v>
      </c>
    </row>
    <row r="3" spans="1:10" ht="17.649999999999999" customHeight="1" x14ac:dyDescent="0.3">
      <c r="A3" s="4">
        <v>45292</v>
      </c>
      <c r="B3" s="5" t="s">
        <v>8</v>
      </c>
      <c r="C3" s="4">
        <v>45200</v>
      </c>
      <c r="D3" s="5" t="s">
        <v>10</v>
      </c>
      <c r="E3" s="6">
        <v>607</v>
      </c>
      <c r="F3" s="6">
        <v>284544.69851729821</v>
      </c>
      <c r="G3" s="6">
        <v>172718632</v>
      </c>
      <c r="H3" s="6">
        <v>36466181</v>
      </c>
      <c r="I3" s="6">
        <f t="shared" ref="I3:I66" si="0">A3-C3</f>
        <v>92</v>
      </c>
      <c r="J3" t="str" cm="1">
        <f t="array" ref="J3">_xlfn.IFS(
AND(I3&gt;=89,I3&lt;=92),"D-90",
AND(I3&gt;=58,I3&lt;=62),"D-60",
AND(I3&gt;=28,I3&lt;=32),"D-30",
AND(I3=0),"당월",
TRUE,"그외")</f>
        <v>D-90</v>
      </c>
    </row>
    <row r="4" spans="1:10" ht="17.649999999999999" customHeight="1" x14ac:dyDescent="0.3">
      <c r="A4" s="4">
        <v>45292</v>
      </c>
      <c r="B4" s="5" t="s">
        <v>8</v>
      </c>
      <c r="C4" s="4">
        <v>45231</v>
      </c>
      <c r="D4" s="5" t="s">
        <v>9</v>
      </c>
      <c r="E4" s="6">
        <v>272</v>
      </c>
      <c r="F4" s="6">
        <v>276910.29411764699</v>
      </c>
      <c r="G4" s="6">
        <v>75319600</v>
      </c>
      <c r="H4" s="6">
        <v>16809600</v>
      </c>
      <c r="I4" s="6">
        <f t="shared" si="0"/>
        <v>61</v>
      </c>
      <c r="J4" t="str" cm="1">
        <f t="array" ref="J4">_xlfn.IFS(
AND(I4&gt;=89,I4&lt;=92),"D-90",
AND(I4&gt;=58,I4&lt;=62),"D-60",
AND(I4&gt;=28,I4&lt;=32),"D-30",
AND(I4=0),"당월",
TRUE,"그외")</f>
        <v>D-60</v>
      </c>
    </row>
    <row r="5" spans="1:10" ht="17.649999999999999" customHeight="1" x14ac:dyDescent="0.3">
      <c r="A5" s="4">
        <v>45292</v>
      </c>
      <c r="B5" s="5" t="s">
        <v>8</v>
      </c>
      <c r="C5" s="4">
        <v>45231</v>
      </c>
      <c r="D5" s="5" t="s">
        <v>10</v>
      </c>
      <c r="E5" s="6">
        <v>2385</v>
      </c>
      <c r="F5" s="6">
        <v>272110.81425576517</v>
      </c>
      <c r="G5" s="6">
        <v>648984292</v>
      </c>
      <c r="H5" s="6">
        <v>142321358</v>
      </c>
      <c r="I5" s="6">
        <f t="shared" si="0"/>
        <v>61</v>
      </c>
      <c r="J5" t="str" cm="1">
        <f t="array" ref="J5">_xlfn.IFS(
AND(I5&gt;=89,I5&lt;=92),"D-90",
AND(I5&gt;=58,I5&lt;=62),"D-60",
AND(I5&gt;=28,I5&lt;=32),"D-30",
AND(I5=0),"당월",
TRUE,"그외")</f>
        <v>D-60</v>
      </c>
    </row>
    <row r="6" spans="1:10" ht="17.649999999999999" customHeight="1" x14ac:dyDescent="0.3">
      <c r="A6" s="4">
        <v>45292</v>
      </c>
      <c r="B6" s="5" t="s">
        <v>8</v>
      </c>
      <c r="C6" s="4">
        <v>45261</v>
      </c>
      <c r="D6" s="5" t="s">
        <v>9</v>
      </c>
      <c r="E6" s="6">
        <v>3130</v>
      </c>
      <c r="F6" s="6">
        <v>257327.15654952079</v>
      </c>
      <c r="G6" s="6">
        <v>805434000</v>
      </c>
      <c r="H6" s="6">
        <v>167455000</v>
      </c>
      <c r="I6" s="6">
        <f t="shared" si="0"/>
        <v>31</v>
      </c>
      <c r="J6" t="str" cm="1">
        <f t="array" ref="J6">_xlfn.IFS(
AND(I6&gt;=89,I6&lt;=92),"D-90",
AND(I6&gt;=58,I6&lt;=62),"D-60",
AND(I6&gt;=28,I6&lt;=32),"D-30",
AND(I6=0),"당월",
TRUE,"그외")</f>
        <v>D-30</v>
      </c>
    </row>
    <row r="7" spans="1:10" ht="17.649999999999999" customHeight="1" x14ac:dyDescent="0.3">
      <c r="A7" s="4">
        <v>45292</v>
      </c>
      <c r="B7" s="5" t="s">
        <v>8</v>
      </c>
      <c r="C7" s="4">
        <v>45261</v>
      </c>
      <c r="D7" s="5" t="s">
        <v>10</v>
      </c>
      <c r="E7" s="6">
        <v>2896</v>
      </c>
      <c r="F7" s="6">
        <v>292212.97513812158</v>
      </c>
      <c r="G7" s="6">
        <v>846248776</v>
      </c>
      <c r="H7" s="6">
        <v>147696991</v>
      </c>
      <c r="I7" s="6">
        <f t="shared" si="0"/>
        <v>31</v>
      </c>
      <c r="J7" t="str" cm="1">
        <f t="array" ref="J7">_xlfn.IFS(
AND(I7&gt;=89,I7&lt;=92),"D-90",
AND(I7&gt;=58,I7&lt;=62),"D-60",
AND(I7&gt;=28,I7&lt;=32),"D-30",
AND(I7=0),"당월",
TRUE,"그외")</f>
        <v>D-30</v>
      </c>
    </row>
    <row r="8" spans="1:10" ht="17.649999999999999" customHeight="1" x14ac:dyDescent="0.3">
      <c r="A8" s="4">
        <v>45292</v>
      </c>
      <c r="B8" s="5" t="s">
        <v>8</v>
      </c>
      <c r="C8" s="4">
        <v>45292</v>
      </c>
      <c r="D8" s="5" t="s">
        <v>9</v>
      </c>
      <c r="E8" s="6">
        <v>1085</v>
      </c>
      <c r="F8" s="6">
        <v>255075.57603686629</v>
      </c>
      <c r="G8" s="6">
        <v>276757000</v>
      </c>
      <c r="H8" s="6">
        <v>46781000</v>
      </c>
      <c r="I8" s="6">
        <f t="shared" si="0"/>
        <v>0</v>
      </c>
      <c r="J8" t="str" cm="1">
        <f t="array" ref="J8">_xlfn.IFS(
AND(I8&gt;=89,I8&lt;=92),"D-90",
AND(I8&gt;=58,I8&lt;=62),"D-60",
AND(I8&gt;=28,I8&lt;=32),"D-30",
AND(I8=0),"당월",
TRUE,"그외")</f>
        <v>당월</v>
      </c>
    </row>
    <row r="9" spans="1:10" ht="17.649999999999999" customHeight="1" x14ac:dyDescent="0.3">
      <c r="A9" s="4">
        <v>45292</v>
      </c>
      <c r="B9" s="5" t="s">
        <v>8</v>
      </c>
      <c r="C9" s="4">
        <v>45292</v>
      </c>
      <c r="D9" s="5" t="s">
        <v>10</v>
      </c>
      <c r="E9" s="6">
        <v>776</v>
      </c>
      <c r="F9" s="6">
        <v>347023.71649484528</v>
      </c>
      <c r="G9" s="6">
        <v>269290404</v>
      </c>
      <c r="H9" s="6">
        <v>32130847</v>
      </c>
      <c r="I9" s="6">
        <f t="shared" si="0"/>
        <v>0</v>
      </c>
      <c r="J9" t="str" cm="1">
        <f t="array" ref="J9">_xlfn.IFS(
AND(I9&gt;=89,I9&lt;=92),"D-90",
AND(I9&gt;=58,I9&lt;=62),"D-60",
AND(I9&gt;=28,I9&lt;=32),"D-30",
AND(I9=0),"당월",
TRUE,"그외")</f>
        <v>당월</v>
      </c>
    </row>
    <row r="10" spans="1:10" ht="17.649999999999999" customHeight="1" x14ac:dyDescent="0.3">
      <c r="A10" s="4">
        <v>45292</v>
      </c>
      <c r="B10" s="5" t="s">
        <v>11</v>
      </c>
      <c r="C10" s="4">
        <v>45170</v>
      </c>
      <c r="D10" s="5" t="s">
        <v>9</v>
      </c>
      <c r="E10" s="6">
        <v>88</v>
      </c>
      <c r="F10" s="6">
        <v>264554.54545454553</v>
      </c>
      <c r="G10" s="6">
        <v>23280800</v>
      </c>
      <c r="H10" s="6">
        <v>4100800</v>
      </c>
      <c r="I10" s="6">
        <f t="shared" si="0"/>
        <v>122</v>
      </c>
      <c r="J10" t="str" cm="1">
        <f t="array" ref="J10">_xlfn.IFS(
AND(I10&gt;=89,I10&lt;=92),"D-90",
AND(I10&gt;=58,I10&lt;=62),"D-60",
AND(I10&gt;=28,I10&lt;=32),"D-30",
AND(I10=0),"당월",
TRUE,"그외")</f>
        <v>그외</v>
      </c>
    </row>
    <row r="11" spans="1:10" ht="17.649999999999999" customHeight="1" x14ac:dyDescent="0.3">
      <c r="A11" s="4">
        <v>45292</v>
      </c>
      <c r="B11" s="5" t="s">
        <v>11</v>
      </c>
      <c r="C11" s="4">
        <v>45170</v>
      </c>
      <c r="D11" s="5" t="s">
        <v>10</v>
      </c>
      <c r="E11" s="6">
        <v>4</v>
      </c>
      <c r="F11" s="6">
        <v>475350</v>
      </c>
      <c r="G11" s="6">
        <v>1901400</v>
      </c>
      <c r="H11" s="6">
        <v>186400</v>
      </c>
      <c r="I11" s="6">
        <f t="shared" si="0"/>
        <v>122</v>
      </c>
      <c r="J11" t="str" cm="1">
        <f t="array" ref="J11">_xlfn.IFS(
AND(I11&gt;=89,I11&lt;=92),"D-90",
AND(I11&gt;=58,I11&lt;=62),"D-60",
AND(I11&gt;=28,I11&lt;=32),"D-30",
AND(I11=0),"당월",
TRUE,"그외")</f>
        <v>그외</v>
      </c>
    </row>
    <row r="12" spans="1:10" ht="17.649999999999999" customHeight="1" x14ac:dyDescent="0.3">
      <c r="A12" s="4">
        <v>45292</v>
      </c>
      <c r="B12" s="5" t="s">
        <v>11</v>
      </c>
      <c r="C12" s="4">
        <v>45200</v>
      </c>
      <c r="D12" s="5" t="s">
        <v>9</v>
      </c>
      <c r="E12" s="6">
        <v>481</v>
      </c>
      <c r="F12" s="6">
        <v>268904.78170478169</v>
      </c>
      <c r="G12" s="6">
        <v>129343200</v>
      </c>
      <c r="H12" s="6">
        <v>29437200</v>
      </c>
      <c r="I12" s="6">
        <f t="shared" si="0"/>
        <v>92</v>
      </c>
      <c r="J12" t="str" cm="1">
        <f t="array" ref="J12">_xlfn.IFS(
AND(I12&gt;=89,I12&lt;=92),"D-90",
AND(I12&gt;=58,I12&lt;=62),"D-60",
AND(I12&gt;=28,I12&lt;=32),"D-30",
AND(I12=0),"당월",
TRUE,"그외")</f>
        <v>D-90</v>
      </c>
    </row>
    <row r="13" spans="1:10" ht="17.649999999999999" customHeight="1" x14ac:dyDescent="0.3">
      <c r="A13" s="4">
        <v>45292</v>
      </c>
      <c r="B13" s="5" t="s">
        <v>11</v>
      </c>
      <c r="C13" s="4">
        <v>45200</v>
      </c>
      <c r="D13" s="5" t="s">
        <v>10</v>
      </c>
      <c r="E13" s="6">
        <v>346</v>
      </c>
      <c r="F13" s="6">
        <v>320312.51156069362</v>
      </c>
      <c r="G13" s="6">
        <v>110828129</v>
      </c>
      <c r="H13" s="6">
        <v>21154653</v>
      </c>
      <c r="I13" s="6">
        <f t="shared" si="0"/>
        <v>92</v>
      </c>
      <c r="J13" t="str" cm="1">
        <f t="array" ref="J13">_xlfn.IFS(
AND(I13&gt;=89,I13&lt;=92),"D-90",
AND(I13&gt;=58,I13&lt;=62),"D-60",
AND(I13&gt;=28,I13&lt;=32),"D-30",
AND(I13=0),"당월",
TRUE,"그외")</f>
        <v>D-90</v>
      </c>
    </row>
    <row r="14" spans="1:10" ht="17.649999999999999" customHeight="1" x14ac:dyDescent="0.3">
      <c r="A14" s="4">
        <v>45292</v>
      </c>
      <c r="B14" s="5" t="s">
        <v>11</v>
      </c>
      <c r="C14" s="4">
        <v>45231</v>
      </c>
      <c r="D14" s="5" t="s">
        <v>9</v>
      </c>
      <c r="E14" s="6">
        <v>764</v>
      </c>
      <c r="F14" s="6">
        <v>262271.20418848167</v>
      </c>
      <c r="G14" s="6">
        <v>200375200</v>
      </c>
      <c r="H14" s="6">
        <v>47215200</v>
      </c>
      <c r="I14" s="6">
        <f t="shared" si="0"/>
        <v>61</v>
      </c>
      <c r="J14" t="str" cm="1">
        <f t="array" ref="J14">_xlfn.IFS(
AND(I14&gt;=89,I14&lt;=92),"D-90",
AND(I14&gt;=58,I14&lt;=62),"D-60",
AND(I14&gt;=28,I14&lt;=32),"D-30",
AND(I14=0),"당월",
TRUE,"그외")</f>
        <v>D-60</v>
      </c>
    </row>
    <row r="15" spans="1:10" ht="17.649999999999999" customHeight="1" x14ac:dyDescent="0.3">
      <c r="A15" s="4">
        <v>45292</v>
      </c>
      <c r="B15" s="5" t="s">
        <v>11</v>
      </c>
      <c r="C15" s="4">
        <v>45231</v>
      </c>
      <c r="D15" s="5" t="s">
        <v>10</v>
      </c>
      <c r="E15" s="6">
        <v>1282</v>
      </c>
      <c r="F15" s="6">
        <v>249079.0873634945</v>
      </c>
      <c r="G15" s="6">
        <v>319319390</v>
      </c>
      <c r="H15" s="6">
        <v>78128985</v>
      </c>
      <c r="I15" s="6">
        <f t="shared" si="0"/>
        <v>61</v>
      </c>
      <c r="J15" t="str" cm="1">
        <f t="array" ref="J15">_xlfn.IFS(
AND(I15&gt;=89,I15&lt;=92),"D-90",
AND(I15&gt;=58,I15&lt;=62),"D-60",
AND(I15&gt;=28,I15&lt;=32),"D-30",
AND(I15=0),"당월",
TRUE,"그외")</f>
        <v>D-60</v>
      </c>
    </row>
    <row r="16" spans="1:10" ht="17.649999999999999" customHeight="1" x14ac:dyDescent="0.3">
      <c r="A16" s="4">
        <v>45292</v>
      </c>
      <c r="B16" s="5" t="s">
        <v>11</v>
      </c>
      <c r="C16" s="4">
        <v>45261</v>
      </c>
      <c r="D16" s="5" t="s">
        <v>9</v>
      </c>
      <c r="E16" s="6">
        <v>4194</v>
      </c>
      <c r="F16" s="6">
        <v>233239.43729136861</v>
      </c>
      <c r="G16" s="6">
        <v>978206200</v>
      </c>
      <c r="H16" s="6">
        <v>224444200</v>
      </c>
      <c r="I16" s="6">
        <f t="shared" si="0"/>
        <v>31</v>
      </c>
      <c r="J16" t="str" cm="1">
        <f t="array" ref="J16">_xlfn.IFS(
AND(I16&gt;=89,I16&lt;=92),"D-90",
AND(I16&gt;=58,I16&lt;=62),"D-60",
AND(I16&gt;=28,I16&lt;=32),"D-30",
AND(I16=0),"당월",
TRUE,"그외")</f>
        <v>D-30</v>
      </c>
    </row>
    <row r="17" spans="1:10" ht="17.649999999999999" customHeight="1" x14ac:dyDescent="0.3">
      <c r="A17" s="4">
        <v>45292</v>
      </c>
      <c r="B17" s="5" t="s">
        <v>11</v>
      </c>
      <c r="C17" s="4">
        <v>45261</v>
      </c>
      <c r="D17" s="5" t="s">
        <v>10</v>
      </c>
      <c r="E17" s="6">
        <v>1409</v>
      </c>
      <c r="F17" s="6">
        <v>273877.43009226403</v>
      </c>
      <c r="G17" s="6">
        <v>385893299</v>
      </c>
      <c r="H17" s="6">
        <v>75271806</v>
      </c>
      <c r="I17" s="6">
        <f t="shared" si="0"/>
        <v>31</v>
      </c>
      <c r="J17" t="str" cm="1">
        <f t="array" ref="J17">_xlfn.IFS(
AND(I17&gt;=89,I17&lt;=92),"D-90",
AND(I17&gt;=58,I17&lt;=62),"D-60",
AND(I17&gt;=28,I17&lt;=32),"D-30",
AND(I17=0),"당월",
TRUE,"그외")</f>
        <v>D-30</v>
      </c>
    </row>
    <row r="18" spans="1:10" ht="17.649999999999999" customHeight="1" x14ac:dyDescent="0.3">
      <c r="A18" s="4">
        <v>45292</v>
      </c>
      <c r="B18" s="5" t="s">
        <v>11</v>
      </c>
      <c r="C18" s="4">
        <v>45292</v>
      </c>
      <c r="D18" s="5" t="s">
        <v>9</v>
      </c>
      <c r="E18" s="6">
        <v>1763</v>
      </c>
      <c r="F18" s="6">
        <v>255695.2353942144</v>
      </c>
      <c r="G18" s="6">
        <v>450790700</v>
      </c>
      <c r="H18" s="6">
        <v>76052700</v>
      </c>
      <c r="I18" s="6">
        <f t="shared" si="0"/>
        <v>0</v>
      </c>
      <c r="J18" t="str" cm="1">
        <f t="array" ref="J18">_xlfn.IFS(
AND(I18&gt;=89,I18&lt;=92),"D-90",
AND(I18&gt;=58,I18&lt;=62),"D-60",
AND(I18&gt;=28,I18&lt;=32),"D-30",
AND(I18=0),"당월",
TRUE,"그외")</f>
        <v>당월</v>
      </c>
    </row>
    <row r="19" spans="1:10" ht="17.649999999999999" customHeight="1" x14ac:dyDescent="0.3">
      <c r="A19" s="4">
        <v>45292</v>
      </c>
      <c r="B19" s="5" t="s">
        <v>11</v>
      </c>
      <c r="C19" s="4">
        <v>45292</v>
      </c>
      <c r="D19" s="5" t="s">
        <v>10</v>
      </c>
      <c r="E19" s="6">
        <v>363</v>
      </c>
      <c r="F19" s="6">
        <v>357460.89531680441</v>
      </c>
      <c r="G19" s="6">
        <v>129758305</v>
      </c>
      <c r="H19" s="6">
        <v>15794065</v>
      </c>
      <c r="I19" s="6">
        <f t="shared" si="0"/>
        <v>0</v>
      </c>
      <c r="J19" t="str" cm="1">
        <f t="array" ref="J19">_xlfn.IFS(
AND(I19&gt;=89,I19&lt;=92),"D-90",
AND(I19&gt;=58,I19&lt;=62),"D-60",
AND(I19&gt;=28,I19&lt;=32),"D-30",
AND(I19=0),"당월",
TRUE,"그외")</f>
        <v>당월</v>
      </c>
    </row>
    <row r="20" spans="1:10" ht="17.649999999999999" customHeight="1" x14ac:dyDescent="0.3">
      <c r="A20" s="4">
        <v>45292</v>
      </c>
      <c r="B20" s="5" t="s">
        <v>12</v>
      </c>
      <c r="C20" s="4">
        <v>45261</v>
      </c>
      <c r="D20" s="5" t="s">
        <v>9</v>
      </c>
      <c r="E20" s="6">
        <v>614</v>
      </c>
      <c r="F20" s="6">
        <v>606737.78501628665</v>
      </c>
      <c r="G20" s="6">
        <v>372537000</v>
      </c>
      <c r="H20" s="6">
        <v>107000</v>
      </c>
      <c r="I20" s="6">
        <f t="shared" si="0"/>
        <v>31</v>
      </c>
      <c r="J20" t="str" cm="1">
        <f t="array" ref="J20">_xlfn.IFS(
AND(I20&gt;=89,I20&lt;=92),"D-90",
AND(I20&gt;=58,I20&lt;=62),"D-60",
AND(I20&gt;=28,I20&lt;=32),"D-30",
AND(I20=0),"당월",
TRUE,"그외")</f>
        <v>D-30</v>
      </c>
    </row>
    <row r="21" spans="1:10" ht="17.649999999999999" customHeight="1" x14ac:dyDescent="0.3">
      <c r="A21" s="4">
        <v>45292</v>
      </c>
      <c r="B21" s="5" t="s">
        <v>12</v>
      </c>
      <c r="C21" s="4">
        <v>45292</v>
      </c>
      <c r="D21" s="5" t="s">
        <v>9</v>
      </c>
      <c r="E21" s="6">
        <v>3018</v>
      </c>
      <c r="F21" s="6">
        <v>170081.51093439359</v>
      </c>
      <c r="G21" s="6">
        <v>513306000</v>
      </c>
      <c r="H21" s="6">
        <v>301000</v>
      </c>
      <c r="I21" s="6">
        <f t="shared" si="0"/>
        <v>0</v>
      </c>
      <c r="J21" t="str" cm="1">
        <f t="array" ref="J21">_xlfn.IFS(
AND(I21&gt;=89,I21&lt;=92),"D-90",
AND(I21&gt;=58,I21&lt;=62),"D-60",
AND(I21&gt;=28,I21&lt;=32),"D-30",
AND(I21=0),"당월",
TRUE,"그외")</f>
        <v>당월</v>
      </c>
    </row>
    <row r="22" spans="1:10" ht="17.649999999999999" customHeight="1" x14ac:dyDescent="0.3">
      <c r="A22" s="4">
        <v>45323</v>
      </c>
      <c r="B22" s="5" t="s">
        <v>8</v>
      </c>
      <c r="C22" s="4">
        <v>45200</v>
      </c>
      <c r="D22" s="5" t="s">
        <v>9</v>
      </c>
      <c r="E22" s="6">
        <v>50</v>
      </c>
      <c r="F22" s="6">
        <v>408400</v>
      </c>
      <c r="G22" s="6">
        <v>20420000</v>
      </c>
      <c r="H22" s="6">
        <v>3060000</v>
      </c>
      <c r="I22" s="6">
        <f t="shared" si="0"/>
        <v>123</v>
      </c>
      <c r="J22" t="str" cm="1">
        <f t="array" ref="J22">_xlfn.IFS(
AND(I22&gt;=89,I22&lt;=92),"D-90",
AND(I22&gt;=58,I22&lt;=62),"D-60",
AND(I22&gt;=28,I22&lt;=32),"D-30",
AND(I22=0),"당월",
TRUE,"그외")</f>
        <v>그외</v>
      </c>
    </row>
    <row r="23" spans="1:10" ht="17.649999999999999" customHeight="1" x14ac:dyDescent="0.3">
      <c r="A23" s="4">
        <v>45323</v>
      </c>
      <c r="B23" s="5" t="s">
        <v>8</v>
      </c>
      <c r="C23" s="4">
        <v>45200</v>
      </c>
      <c r="D23" s="5" t="s">
        <v>10</v>
      </c>
      <c r="E23" s="6">
        <v>397</v>
      </c>
      <c r="F23" s="6">
        <v>341006.37531486148</v>
      </c>
      <c r="G23" s="6">
        <v>135379531</v>
      </c>
      <c r="H23" s="6">
        <v>23863798</v>
      </c>
      <c r="I23" s="6">
        <f t="shared" si="0"/>
        <v>123</v>
      </c>
      <c r="J23" t="str" cm="1">
        <f t="array" ref="J23">_xlfn.IFS(
AND(I23&gt;=89,I23&lt;=92),"D-90",
AND(I23&gt;=58,I23&lt;=62),"D-60",
AND(I23&gt;=28,I23&lt;=32),"D-30",
AND(I23=0),"당월",
TRUE,"그외")</f>
        <v>그외</v>
      </c>
    </row>
    <row r="24" spans="1:10" ht="17.649999999999999" customHeight="1" x14ac:dyDescent="0.3">
      <c r="A24" s="4">
        <v>45323</v>
      </c>
      <c r="B24" s="5" t="s">
        <v>8</v>
      </c>
      <c r="C24" s="4">
        <v>45231</v>
      </c>
      <c r="D24" s="5" t="s">
        <v>9</v>
      </c>
      <c r="E24" s="6">
        <v>101</v>
      </c>
      <c r="F24" s="6">
        <v>296651.48514851491</v>
      </c>
      <c r="G24" s="6">
        <v>29961800</v>
      </c>
      <c r="H24" s="6">
        <v>6241800</v>
      </c>
      <c r="I24" s="6">
        <f t="shared" si="0"/>
        <v>92</v>
      </c>
      <c r="J24" t="str" cm="1">
        <f t="array" ref="J24">_xlfn.IFS(
AND(I24&gt;=89,I24&lt;=92),"D-90",
AND(I24&gt;=58,I24&lt;=62),"D-60",
AND(I24&gt;=28,I24&lt;=32),"D-30",
AND(I24=0),"당월",
TRUE,"그외")</f>
        <v>D-90</v>
      </c>
    </row>
    <row r="25" spans="1:10" ht="17.649999999999999" customHeight="1" x14ac:dyDescent="0.3">
      <c r="A25" s="4">
        <v>45323</v>
      </c>
      <c r="B25" s="5" t="s">
        <v>8</v>
      </c>
      <c r="C25" s="4">
        <v>45231</v>
      </c>
      <c r="D25" s="5" t="s">
        <v>10</v>
      </c>
      <c r="E25" s="6">
        <v>689</v>
      </c>
      <c r="F25" s="6">
        <v>292902.3497822932</v>
      </c>
      <c r="G25" s="6">
        <v>201809719</v>
      </c>
      <c r="H25" s="6">
        <v>41220314</v>
      </c>
      <c r="I25" s="6">
        <f t="shared" si="0"/>
        <v>92</v>
      </c>
      <c r="J25" t="str" cm="1">
        <f t="array" ref="J25">_xlfn.IFS(
AND(I25&gt;=89,I25&lt;=92),"D-90",
AND(I25&gt;=58,I25&lt;=62),"D-60",
AND(I25&gt;=28,I25&lt;=32),"D-30",
AND(I25=0),"당월",
TRUE,"그외")</f>
        <v>D-90</v>
      </c>
    </row>
    <row r="26" spans="1:10" ht="17.649999999999999" customHeight="1" x14ac:dyDescent="0.3">
      <c r="A26" s="4">
        <v>45323</v>
      </c>
      <c r="B26" s="5" t="s">
        <v>8</v>
      </c>
      <c r="C26" s="4">
        <v>45261</v>
      </c>
      <c r="D26" s="5" t="s">
        <v>9</v>
      </c>
      <c r="E26" s="6">
        <v>462</v>
      </c>
      <c r="F26" s="6">
        <v>267326.8398268398</v>
      </c>
      <c r="G26" s="6">
        <v>123505000</v>
      </c>
      <c r="H26" s="6">
        <v>24717000</v>
      </c>
      <c r="I26" s="6">
        <f t="shared" si="0"/>
        <v>62</v>
      </c>
      <c r="J26" t="str" cm="1">
        <f t="array" ref="J26">_xlfn.IFS(
AND(I26&gt;=89,I26&lt;=92),"D-90",
AND(I26&gt;=58,I26&lt;=62),"D-60",
AND(I26&gt;=28,I26&lt;=32),"D-30",
AND(I26=0),"당월",
TRUE,"그외")</f>
        <v>D-60</v>
      </c>
    </row>
    <row r="27" spans="1:10" ht="17.649999999999999" customHeight="1" x14ac:dyDescent="0.3">
      <c r="A27" s="4">
        <v>45323</v>
      </c>
      <c r="B27" s="5" t="s">
        <v>8</v>
      </c>
      <c r="C27" s="4">
        <v>45261</v>
      </c>
      <c r="D27" s="5" t="s">
        <v>10</v>
      </c>
      <c r="E27" s="6">
        <v>1539</v>
      </c>
      <c r="F27" s="6">
        <v>273635.65497076022</v>
      </c>
      <c r="G27" s="6">
        <v>421125273</v>
      </c>
      <c r="H27" s="6">
        <v>80054673</v>
      </c>
      <c r="I27" s="6">
        <f t="shared" si="0"/>
        <v>62</v>
      </c>
      <c r="J27" t="str" cm="1">
        <f t="array" ref="J27">_xlfn.IFS(
AND(I27&gt;=89,I27&lt;=92),"D-90",
AND(I27&gt;=58,I27&lt;=62),"D-60",
AND(I27&gt;=28,I27&lt;=32),"D-30",
AND(I27=0),"당월",
TRUE,"그외")</f>
        <v>D-60</v>
      </c>
    </row>
    <row r="28" spans="1:10" ht="17.649999999999999" customHeight="1" x14ac:dyDescent="0.3">
      <c r="A28" s="4">
        <v>45323</v>
      </c>
      <c r="B28" s="5" t="s">
        <v>8</v>
      </c>
      <c r="C28" s="4">
        <v>45292</v>
      </c>
      <c r="D28" s="5" t="s">
        <v>9</v>
      </c>
      <c r="E28" s="6">
        <v>3327</v>
      </c>
      <c r="F28" s="6">
        <v>255854.28313796211</v>
      </c>
      <c r="G28" s="6">
        <v>851227200</v>
      </c>
      <c r="H28" s="6">
        <v>143241200</v>
      </c>
      <c r="I28" s="6">
        <f t="shared" si="0"/>
        <v>31</v>
      </c>
      <c r="J28" t="str" cm="1">
        <f t="array" ref="J28">_xlfn.IFS(
AND(I28&gt;=89,I28&lt;=92),"D-90",
AND(I28&gt;=58,I28&lt;=62),"D-60",
AND(I28&gt;=28,I28&lt;=32),"D-30",
AND(I28=0),"당월",
TRUE,"그외")</f>
        <v>D-30</v>
      </c>
    </row>
    <row r="29" spans="1:10" ht="17.649999999999999" customHeight="1" x14ac:dyDescent="0.3">
      <c r="A29" s="4">
        <v>45323</v>
      </c>
      <c r="B29" s="5" t="s">
        <v>8</v>
      </c>
      <c r="C29" s="4">
        <v>45292</v>
      </c>
      <c r="D29" s="5" t="s">
        <v>10</v>
      </c>
      <c r="E29" s="6">
        <v>2754</v>
      </c>
      <c r="F29" s="6">
        <v>293490.50072621641</v>
      </c>
      <c r="G29" s="6">
        <v>808272839</v>
      </c>
      <c r="H29" s="6">
        <v>114387198</v>
      </c>
      <c r="I29" s="6">
        <f t="shared" si="0"/>
        <v>31</v>
      </c>
      <c r="J29" t="str" cm="1">
        <f t="array" ref="J29">_xlfn.IFS(
AND(I29&gt;=89,I29&lt;=92),"D-90",
AND(I29&gt;=58,I29&lt;=62),"D-60",
AND(I29&gt;=28,I29&lt;=32),"D-30",
AND(I29=0),"당월",
TRUE,"그외")</f>
        <v>D-30</v>
      </c>
    </row>
    <row r="30" spans="1:10" ht="17.649999999999999" customHeight="1" x14ac:dyDescent="0.3">
      <c r="A30" s="4">
        <v>45323</v>
      </c>
      <c r="B30" s="5" t="s">
        <v>8</v>
      </c>
      <c r="C30" s="4">
        <v>45323</v>
      </c>
      <c r="D30" s="5" t="s">
        <v>9</v>
      </c>
      <c r="E30" s="6">
        <v>452</v>
      </c>
      <c r="F30" s="6">
        <v>258219.2477876106</v>
      </c>
      <c r="G30" s="6">
        <v>116715100</v>
      </c>
      <c r="H30" s="6">
        <v>19484100</v>
      </c>
      <c r="I30" s="6">
        <f t="shared" si="0"/>
        <v>0</v>
      </c>
      <c r="J30" t="str" cm="1">
        <f t="array" ref="J30">_xlfn.IFS(
AND(I30&gt;=89,I30&lt;=92),"D-90",
AND(I30&gt;=58,I30&lt;=62),"D-60",
AND(I30&gt;=28,I30&lt;=32),"D-30",
AND(I30=0),"당월",
TRUE,"그외")</f>
        <v>당월</v>
      </c>
    </row>
    <row r="31" spans="1:10" ht="17.649999999999999" customHeight="1" x14ac:dyDescent="0.3">
      <c r="A31" s="4">
        <v>45323</v>
      </c>
      <c r="B31" s="5" t="s">
        <v>8</v>
      </c>
      <c r="C31" s="4">
        <v>45323</v>
      </c>
      <c r="D31" s="5" t="s">
        <v>10</v>
      </c>
      <c r="E31" s="6">
        <v>656</v>
      </c>
      <c r="F31" s="6">
        <v>358965.36585365853</v>
      </c>
      <c r="G31" s="6">
        <v>235481280</v>
      </c>
      <c r="H31" s="6">
        <v>27045956</v>
      </c>
      <c r="I31" s="6">
        <f t="shared" si="0"/>
        <v>0</v>
      </c>
      <c r="J31" t="str" cm="1">
        <f t="array" ref="J31">_xlfn.IFS(
AND(I31&gt;=89,I31&lt;=92),"D-90",
AND(I31&gt;=58,I31&lt;=62),"D-60",
AND(I31&gt;=28,I31&lt;=32),"D-30",
AND(I31=0),"당월",
TRUE,"그외")</f>
        <v>당월</v>
      </c>
    </row>
    <row r="32" spans="1:10" ht="17.649999999999999" customHeight="1" x14ac:dyDescent="0.3">
      <c r="A32" s="4">
        <v>45323</v>
      </c>
      <c r="B32" s="5" t="s">
        <v>11</v>
      </c>
      <c r="C32" s="4">
        <v>45170</v>
      </c>
      <c r="D32" s="5" t="s">
        <v>10</v>
      </c>
      <c r="E32" s="6">
        <v>18</v>
      </c>
      <c r="F32" s="6">
        <v>495766.66666666669</v>
      </c>
      <c r="G32" s="6">
        <v>8923800</v>
      </c>
      <c r="H32" s="6">
        <v>838800</v>
      </c>
      <c r="I32" s="6">
        <f t="shared" si="0"/>
        <v>153</v>
      </c>
      <c r="J32" t="str" cm="1">
        <f t="array" ref="J32">_xlfn.IFS(
AND(I32&gt;=89,I32&lt;=92),"D-90",
AND(I32&gt;=58,I32&lt;=62),"D-60",
AND(I32&gt;=28,I32&lt;=32),"D-30",
AND(I32=0),"당월",
TRUE,"그외")</f>
        <v>그외</v>
      </c>
    </row>
    <row r="33" spans="1:10" ht="17.649999999999999" customHeight="1" x14ac:dyDescent="0.3">
      <c r="A33" s="4">
        <v>45323</v>
      </c>
      <c r="B33" s="5" t="s">
        <v>11</v>
      </c>
      <c r="C33" s="4">
        <v>45200</v>
      </c>
      <c r="D33" s="5" t="s">
        <v>10</v>
      </c>
      <c r="E33" s="6">
        <v>69</v>
      </c>
      <c r="F33" s="6">
        <v>302197.10144927539</v>
      </c>
      <c r="G33" s="6">
        <v>20851600</v>
      </c>
      <c r="H33" s="6">
        <v>4222800</v>
      </c>
      <c r="I33" s="6">
        <f t="shared" si="0"/>
        <v>123</v>
      </c>
      <c r="J33" t="str" cm="1">
        <f t="array" ref="J33">_xlfn.IFS(
AND(I33&gt;=89,I33&lt;=92),"D-90",
AND(I33&gt;=58,I33&lt;=62),"D-60",
AND(I33&gt;=28,I33&lt;=32),"D-30",
AND(I33=0),"당월",
TRUE,"그외")</f>
        <v>그외</v>
      </c>
    </row>
    <row r="34" spans="1:10" ht="17.649999999999999" customHeight="1" x14ac:dyDescent="0.3">
      <c r="A34" s="4">
        <v>45323</v>
      </c>
      <c r="B34" s="5" t="s">
        <v>11</v>
      </c>
      <c r="C34" s="4">
        <v>45231</v>
      </c>
      <c r="D34" s="5" t="s">
        <v>9</v>
      </c>
      <c r="E34" s="6">
        <v>24</v>
      </c>
      <c r="F34" s="6">
        <v>366800</v>
      </c>
      <c r="G34" s="6">
        <v>8803200</v>
      </c>
      <c r="H34" s="6">
        <v>1483200</v>
      </c>
      <c r="I34" s="6">
        <f t="shared" si="0"/>
        <v>92</v>
      </c>
      <c r="J34" t="str" cm="1">
        <f t="array" ref="J34">_xlfn.IFS(
AND(I34&gt;=89,I34&lt;=92),"D-90",
AND(I34&gt;=58,I34&lt;=62),"D-60",
AND(I34&gt;=28,I34&lt;=32),"D-30",
AND(I34=0),"당월",
TRUE,"그외")</f>
        <v>D-90</v>
      </c>
    </row>
    <row r="35" spans="1:10" ht="17.649999999999999" customHeight="1" x14ac:dyDescent="0.3">
      <c r="A35" s="4">
        <v>45323</v>
      </c>
      <c r="B35" s="5" t="s">
        <v>11</v>
      </c>
      <c r="C35" s="4">
        <v>45231</v>
      </c>
      <c r="D35" s="5" t="s">
        <v>10</v>
      </c>
      <c r="E35" s="6">
        <v>702</v>
      </c>
      <c r="F35" s="6">
        <v>262777.00569800573</v>
      </c>
      <c r="G35" s="6">
        <v>184469458</v>
      </c>
      <c r="H35" s="6">
        <v>43132612</v>
      </c>
      <c r="I35" s="6">
        <f t="shared" si="0"/>
        <v>92</v>
      </c>
      <c r="J35" t="str" cm="1">
        <f t="array" ref="J35">_xlfn.IFS(
AND(I35&gt;=89,I35&lt;=92),"D-90",
AND(I35&gt;=58,I35&lt;=62),"D-60",
AND(I35&gt;=28,I35&lt;=32),"D-30",
AND(I35=0),"당월",
TRUE,"그외")</f>
        <v>D-90</v>
      </c>
    </row>
    <row r="36" spans="1:10" ht="17.649999999999999" customHeight="1" x14ac:dyDescent="0.3">
      <c r="A36" s="4">
        <v>45323</v>
      </c>
      <c r="B36" s="5" t="s">
        <v>11</v>
      </c>
      <c r="C36" s="4">
        <v>45261</v>
      </c>
      <c r="D36" s="5" t="s">
        <v>9</v>
      </c>
      <c r="E36" s="6">
        <v>850</v>
      </c>
      <c r="F36" s="6">
        <v>205511.76470588229</v>
      </c>
      <c r="G36" s="6">
        <v>174685000</v>
      </c>
      <c r="H36" s="6">
        <v>45475000</v>
      </c>
      <c r="I36" s="6">
        <f t="shared" si="0"/>
        <v>62</v>
      </c>
      <c r="J36" t="str" cm="1">
        <f t="array" ref="J36">_xlfn.IFS(
AND(I36&gt;=89,I36&lt;=92),"D-90",
AND(I36&gt;=58,I36&lt;=62),"D-60",
AND(I36&gt;=28,I36&lt;=32),"D-30",
AND(I36=0),"당월",
TRUE,"그외")</f>
        <v>D-60</v>
      </c>
    </row>
    <row r="37" spans="1:10" ht="17.649999999999999" customHeight="1" x14ac:dyDescent="0.3">
      <c r="A37" s="4">
        <v>45323</v>
      </c>
      <c r="B37" s="5" t="s">
        <v>11</v>
      </c>
      <c r="C37" s="4">
        <v>45261</v>
      </c>
      <c r="D37" s="5" t="s">
        <v>10</v>
      </c>
      <c r="E37" s="6">
        <v>1595</v>
      </c>
      <c r="F37" s="6">
        <v>262697.3843260188</v>
      </c>
      <c r="G37" s="6">
        <v>419002328</v>
      </c>
      <c r="H37" s="6">
        <v>85257448</v>
      </c>
      <c r="I37" s="6">
        <f t="shared" si="0"/>
        <v>62</v>
      </c>
      <c r="J37" t="str" cm="1">
        <f t="array" ref="J37">_xlfn.IFS(
AND(I37&gt;=89,I37&lt;=92),"D-90",
AND(I37&gt;=58,I37&lt;=62),"D-60",
AND(I37&gt;=28,I37&lt;=32),"D-30",
AND(I37=0),"당월",
TRUE,"그외")</f>
        <v>D-60</v>
      </c>
    </row>
    <row r="38" spans="1:10" ht="17.649999999999999" customHeight="1" x14ac:dyDescent="0.3">
      <c r="A38" s="4">
        <v>45323</v>
      </c>
      <c r="B38" s="5" t="s">
        <v>11</v>
      </c>
      <c r="C38" s="4">
        <v>45292</v>
      </c>
      <c r="D38" s="5" t="s">
        <v>9</v>
      </c>
      <c r="E38" s="6">
        <v>2805</v>
      </c>
      <c r="F38" s="6">
        <v>211671.47950089129</v>
      </c>
      <c r="G38" s="6">
        <v>593738500</v>
      </c>
      <c r="H38" s="6">
        <v>120646500</v>
      </c>
      <c r="I38" s="6">
        <f t="shared" si="0"/>
        <v>31</v>
      </c>
      <c r="J38" t="str" cm="1">
        <f t="array" ref="J38">_xlfn.IFS(
AND(I38&gt;=89,I38&lt;=92),"D-90",
AND(I38&gt;=58,I38&lt;=62),"D-60",
AND(I38&gt;=28,I38&lt;=32),"D-30",
AND(I38=0),"당월",
TRUE,"그외")</f>
        <v>D-30</v>
      </c>
    </row>
    <row r="39" spans="1:10" ht="17.649999999999999" customHeight="1" x14ac:dyDescent="0.3">
      <c r="A39" s="4">
        <v>45323</v>
      </c>
      <c r="B39" s="5" t="s">
        <v>11</v>
      </c>
      <c r="C39" s="4">
        <v>45292</v>
      </c>
      <c r="D39" s="5" t="s">
        <v>10</v>
      </c>
      <c r="E39" s="6">
        <v>1045</v>
      </c>
      <c r="F39" s="6">
        <v>304528.00765550241</v>
      </c>
      <c r="G39" s="6">
        <v>318231768</v>
      </c>
      <c r="H39" s="6">
        <v>45120004</v>
      </c>
      <c r="I39" s="6">
        <f t="shared" si="0"/>
        <v>31</v>
      </c>
      <c r="J39" t="str" cm="1">
        <f t="array" ref="J39">_xlfn.IFS(
AND(I39&gt;=89,I39&lt;=92),"D-90",
AND(I39&gt;=58,I39&lt;=62),"D-60",
AND(I39&gt;=28,I39&lt;=32),"D-30",
AND(I39=0),"당월",
TRUE,"그외")</f>
        <v>D-30</v>
      </c>
    </row>
    <row r="40" spans="1:10" ht="17.649999999999999" customHeight="1" x14ac:dyDescent="0.3">
      <c r="A40" s="4">
        <v>45323</v>
      </c>
      <c r="B40" s="5" t="s">
        <v>11</v>
      </c>
      <c r="C40" s="4">
        <v>45323</v>
      </c>
      <c r="D40" s="5" t="s">
        <v>9</v>
      </c>
      <c r="E40" s="6">
        <v>2321</v>
      </c>
      <c r="F40" s="6">
        <v>261650.58164584229</v>
      </c>
      <c r="G40" s="6">
        <v>607291000</v>
      </c>
      <c r="H40" s="6">
        <v>99803000</v>
      </c>
      <c r="I40" s="6">
        <f t="shared" si="0"/>
        <v>0</v>
      </c>
      <c r="J40" t="str" cm="1">
        <f t="array" ref="J40">_xlfn.IFS(
AND(I40&gt;=89,I40&lt;=92),"D-90",
AND(I40&gt;=58,I40&lt;=62),"D-60",
AND(I40&gt;=28,I40&lt;=32),"D-30",
AND(I40=0),"당월",
TRUE,"그외")</f>
        <v>당월</v>
      </c>
    </row>
    <row r="41" spans="1:10" ht="17.649999999999999" customHeight="1" x14ac:dyDescent="0.3">
      <c r="A41" s="4">
        <v>45323</v>
      </c>
      <c r="B41" s="5" t="s">
        <v>11</v>
      </c>
      <c r="C41" s="4">
        <v>45323</v>
      </c>
      <c r="D41" s="5" t="s">
        <v>10</v>
      </c>
      <c r="E41" s="6">
        <v>310</v>
      </c>
      <c r="F41" s="6">
        <v>329560.22903225798</v>
      </c>
      <c r="G41" s="6">
        <v>102163671</v>
      </c>
      <c r="H41" s="6">
        <v>13124573</v>
      </c>
      <c r="I41" s="6">
        <f t="shared" si="0"/>
        <v>0</v>
      </c>
      <c r="J41" t="str" cm="1">
        <f t="array" ref="J41">_xlfn.IFS(
AND(I41&gt;=89,I41&lt;=92),"D-90",
AND(I41&gt;=58,I41&lt;=62),"D-60",
AND(I41&gt;=28,I41&lt;=32),"D-30",
AND(I41=0),"당월",
TRUE,"그외")</f>
        <v>당월</v>
      </c>
    </row>
    <row r="42" spans="1:10" ht="17.649999999999999" customHeight="1" x14ac:dyDescent="0.3">
      <c r="A42" s="4">
        <v>45323</v>
      </c>
      <c r="B42" s="5" t="s">
        <v>12</v>
      </c>
      <c r="C42" s="4">
        <v>45261</v>
      </c>
      <c r="D42" s="5" t="s">
        <v>9</v>
      </c>
      <c r="E42" s="6">
        <v>66</v>
      </c>
      <c r="F42" s="6">
        <v>0</v>
      </c>
      <c r="G42" s="6">
        <v>0</v>
      </c>
      <c r="H42" s="6">
        <v>0</v>
      </c>
      <c r="I42" s="6">
        <f t="shared" si="0"/>
        <v>62</v>
      </c>
      <c r="J42" t="str" cm="1">
        <f t="array" ref="J42">_xlfn.IFS(
AND(I42&gt;=89,I42&lt;=92),"D-90",
AND(I42&gt;=58,I42&lt;=62),"D-60",
AND(I42&gt;=28,I42&lt;=32),"D-30",
AND(I42=0),"당월",
TRUE,"그외")</f>
        <v>D-60</v>
      </c>
    </row>
    <row r="43" spans="1:10" ht="17.649999999999999" customHeight="1" x14ac:dyDescent="0.3">
      <c r="A43" s="4">
        <v>45323</v>
      </c>
      <c r="B43" s="5" t="s">
        <v>12</v>
      </c>
      <c r="C43" s="4">
        <v>45292</v>
      </c>
      <c r="D43" s="5" t="s">
        <v>9</v>
      </c>
      <c r="E43" s="6">
        <v>905</v>
      </c>
      <c r="F43" s="6">
        <v>977054.1436464088</v>
      </c>
      <c r="G43" s="6">
        <v>884234000</v>
      </c>
      <c r="H43" s="6">
        <v>129000</v>
      </c>
      <c r="I43" s="6">
        <f t="shared" si="0"/>
        <v>31</v>
      </c>
      <c r="J43" t="str" cm="1">
        <f t="array" ref="J43">_xlfn.IFS(
AND(I43&gt;=89,I43&lt;=92),"D-90",
AND(I43&gt;=58,I43&lt;=62),"D-60",
AND(I43&gt;=28,I43&lt;=32),"D-30",
AND(I43=0),"당월",
TRUE,"그외")</f>
        <v>D-30</v>
      </c>
    </row>
    <row r="44" spans="1:10" ht="17.649999999999999" customHeight="1" x14ac:dyDescent="0.3">
      <c r="A44" s="4">
        <v>45323</v>
      </c>
      <c r="B44" s="5" t="s">
        <v>12</v>
      </c>
      <c r="C44" s="4">
        <v>45323</v>
      </c>
      <c r="D44" s="5" t="s">
        <v>9</v>
      </c>
      <c r="E44" s="6">
        <v>2666</v>
      </c>
      <c r="F44" s="6">
        <v>387.09677419354841</v>
      </c>
      <c r="G44" s="6">
        <v>1032000</v>
      </c>
      <c r="H44" s="6">
        <v>172000</v>
      </c>
      <c r="I44" s="6">
        <f t="shared" si="0"/>
        <v>0</v>
      </c>
      <c r="J44" t="str" cm="1">
        <f t="array" ref="J44">_xlfn.IFS(
AND(I44&gt;=89,I44&lt;=92),"D-90",
AND(I44&gt;=58,I44&lt;=62),"D-60",
AND(I44&gt;=28,I44&lt;=32),"D-30",
AND(I44=0),"당월",
TRUE,"그외")</f>
        <v>당월</v>
      </c>
    </row>
    <row r="45" spans="1:10" ht="17.649999999999999" customHeight="1" x14ac:dyDescent="0.3">
      <c r="A45" s="4">
        <v>45352</v>
      </c>
      <c r="B45" s="5" t="s">
        <v>8</v>
      </c>
      <c r="C45" s="4">
        <v>45200</v>
      </c>
      <c r="D45" s="5" t="s">
        <v>10</v>
      </c>
      <c r="E45" s="6">
        <v>190</v>
      </c>
      <c r="F45" s="6">
        <v>194629.55263157899</v>
      </c>
      <c r="G45" s="6">
        <v>36979615</v>
      </c>
      <c r="H45" s="6">
        <v>11238225</v>
      </c>
      <c r="I45" s="6">
        <f t="shared" si="0"/>
        <v>152</v>
      </c>
      <c r="J45" t="str" cm="1">
        <f t="array" ref="J45">_xlfn.IFS(
AND(I45&gt;=89,I45&lt;=92),"D-90",
AND(I45&gt;=58,I45&lt;=62),"D-60",
AND(I45&gt;=28,I45&lt;=32),"D-30",
AND(I45=0),"당월",
TRUE,"그외")</f>
        <v>그외</v>
      </c>
    </row>
    <row r="46" spans="1:10" ht="17.649999999999999" customHeight="1" x14ac:dyDescent="0.3">
      <c r="A46" s="4">
        <v>45352</v>
      </c>
      <c r="B46" s="5" t="s">
        <v>8</v>
      </c>
      <c r="C46" s="4">
        <v>45231</v>
      </c>
      <c r="D46" s="5" t="s">
        <v>10</v>
      </c>
      <c r="E46" s="6">
        <v>471</v>
      </c>
      <c r="F46" s="6">
        <v>208953.24840764329</v>
      </c>
      <c r="G46" s="6">
        <v>98416980</v>
      </c>
      <c r="H46" s="6">
        <v>28116094</v>
      </c>
      <c r="I46" s="6">
        <f t="shared" si="0"/>
        <v>121</v>
      </c>
      <c r="J46" t="str" cm="1">
        <f t="array" ref="J46">_xlfn.IFS(
AND(I46&gt;=89,I46&lt;=92),"D-90",
AND(I46&gt;=58,I46&lt;=62),"D-60",
AND(I46&gt;=28,I46&lt;=32),"D-30",
AND(I46=0),"당월",
TRUE,"그외")</f>
        <v>그외</v>
      </c>
    </row>
    <row r="47" spans="1:10" ht="17.649999999999999" customHeight="1" x14ac:dyDescent="0.3">
      <c r="A47" s="4">
        <v>45352</v>
      </c>
      <c r="B47" s="5" t="s">
        <v>8</v>
      </c>
      <c r="C47" s="4">
        <v>45261</v>
      </c>
      <c r="D47" s="5" t="s">
        <v>9</v>
      </c>
      <c r="E47" s="6">
        <v>96</v>
      </c>
      <c r="F47" s="6">
        <v>202875</v>
      </c>
      <c r="G47" s="6">
        <v>19476000</v>
      </c>
      <c r="H47" s="6">
        <v>5136000</v>
      </c>
      <c r="I47" s="6">
        <f t="shared" si="0"/>
        <v>91</v>
      </c>
      <c r="J47" t="str" cm="1">
        <f t="array" ref="J47">_xlfn.IFS(
AND(I47&gt;=89,I47&lt;=92),"D-90",
AND(I47&gt;=58,I47&lt;=62),"D-60",
AND(I47&gt;=28,I47&lt;=32),"D-30",
AND(I47=0),"당월",
TRUE,"그외")</f>
        <v>D-90</v>
      </c>
    </row>
    <row r="48" spans="1:10" ht="17.649999999999999" customHeight="1" x14ac:dyDescent="0.3">
      <c r="A48" s="4">
        <v>45352</v>
      </c>
      <c r="B48" s="5" t="s">
        <v>8</v>
      </c>
      <c r="C48" s="4">
        <v>45261</v>
      </c>
      <c r="D48" s="5" t="s">
        <v>10</v>
      </c>
      <c r="E48" s="6">
        <v>610</v>
      </c>
      <c r="F48" s="6">
        <v>220782.84754098361</v>
      </c>
      <c r="G48" s="6">
        <v>134677537</v>
      </c>
      <c r="H48" s="6">
        <v>31233887</v>
      </c>
      <c r="I48" s="6">
        <f t="shared" si="0"/>
        <v>91</v>
      </c>
      <c r="J48" t="str" cm="1">
        <f t="array" ref="J48">_xlfn.IFS(
AND(I48&gt;=89,I48&lt;=92),"D-90",
AND(I48&gt;=58,I48&lt;=62),"D-60",
AND(I48&gt;=28,I48&lt;=32),"D-30",
AND(I48=0),"당월",
TRUE,"그외")</f>
        <v>D-90</v>
      </c>
    </row>
    <row r="49" spans="1:10" ht="17.649999999999999" customHeight="1" x14ac:dyDescent="0.3">
      <c r="A49" s="4">
        <v>45352</v>
      </c>
      <c r="B49" s="5" t="s">
        <v>8</v>
      </c>
      <c r="C49" s="4">
        <v>45292</v>
      </c>
      <c r="D49" s="5" t="s">
        <v>9</v>
      </c>
      <c r="E49" s="6">
        <v>2785</v>
      </c>
      <c r="F49" s="6">
        <v>180952.24416517059</v>
      </c>
      <c r="G49" s="6">
        <v>503952000</v>
      </c>
      <c r="H49" s="6">
        <v>119755000</v>
      </c>
      <c r="I49" s="6">
        <f t="shared" si="0"/>
        <v>60</v>
      </c>
      <c r="J49" t="str" cm="1">
        <f t="array" ref="J49">_xlfn.IFS(
AND(I49&gt;=89,I49&lt;=92),"D-90",
AND(I49&gt;=58,I49&lt;=62),"D-60",
AND(I49&gt;=28,I49&lt;=32),"D-30",
AND(I49=0),"당월",
TRUE,"그외")</f>
        <v>D-60</v>
      </c>
    </row>
    <row r="50" spans="1:10" ht="17.649999999999999" customHeight="1" x14ac:dyDescent="0.3">
      <c r="A50" s="4">
        <v>45352</v>
      </c>
      <c r="B50" s="5" t="s">
        <v>8</v>
      </c>
      <c r="C50" s="4">
        <v>45292</v>
      </c>
      <c r="D50" s="5" t="s">
        <v>10</v>
      </c>
      <c r="E50" s="6">
        <v>1243</v>
      </c>
      <c r="F50" s="6">
        <v>236386.62992759451</v>
      </c>
      <c r="G50" s="6">
        <v>293828581</v>
      </c>
      <c r="H50" s="6">
        <v>52069302</v>
      </c>
      <c r="I50" s="6">
        <f t="shared" si="0"/>
        <v>60</v>
      </c>
      <c r="J50" t="str" cm="1">
        <f t="array" ref="J50">_xlfn.IFS(
AND(I50&gt;=89,I50&lt;=92),"D-90",
AND(I50&gt;=58,I50&lt;=62),"D-60",
AND(I50&gt;=28,I50&lt;=32),"D-30",
AND(I50=0),"당월",
TRUE,"그외")</f>
        <v>D-60</v>
      </c>
    </row>
    <row r="51" spans="1:10" ht="17.649999999999999" customHeight="1" x14ac:dyDescent="0.3">
      <c r="A51" s="4">
        <v>45352</v>
      </c>
      <c r="B51" s="5" t="s">
        <v>8</v>
      </c>
      <c r="C51" s="4">
        <v>45323</v>
      </c>
      <c r="D51" s="5" t="s">
        <v>9</v>
      </c>
      <c r="E51" s="6">
        <v>1921</v>
      </c>
      <c r="F51" s="6">
        <v>181014.31546069749</v>
      </c>
      <c r="G51" s="6">
        <v>347728500</v>
      </c>
      <c r="H51" s="6">
        <v>82613500</v>
      </c>
      <c r="I51" s="6">
        <f t="shared" si="0"/>
        <v>29</v>
      </c>
      <c r="J51" t="str" cm="1">
        <f t="array" ref="J51">_xlfn.IFS(
AND(I51&gt;=89,I51&lt;=92),"D-90",
AND(I51&gt;=58,I51&lt;=62),"D-60",
AND(I51&gt;=28,I51&lt;=32),"D-30",
AND(I51=0),"당월",
TRUE,"그외")</f>
        <v>D-30</v>
      </c>
    </row>
    <row r="52" spans="1:10" ht="17.649999999999999" customHeight="1" x14ac:dyDescent="0.3">
      <c r="A52" s="4">
        <v>45352</v>
      </c>
      <c r="B52" s="5" t="s">
        <v>8</v>
      </c>
      <c r="C52" s="4">
        <v>45323</v>
      </c>
      <c r="D52" s="5" t="s">
        <v>10</v>
      </c>
      <c r="E52" s="6">
        <v>983</v>
      </c>
      <c r="F52" s="6">
        <v>264423.87995930831</v>
      </c>
      <c r="G52" s="6">
        <v>259928674</v>
      </c>
      <c r="H52" s="6">
        <v>40851933</v>
      </c>
      <c r="I52" s="6">
        <f t="shared" si="0"/>
        <v>29</v>
      </c>
      <c r="J52" t="str" cm="1">
        <f t="array" ref="J52">_xlfn.IFS(
AND(I52&gt;=89,I52&lt;=92),"D-90",
AND(I52&gt;=58,I52&lt;=62),"D-60",
AND(I52&gt;=28,I52&lt;=32),"D-30",
AND(I52=0),"당월",
TRUE,"그외")</f>
        <v>D-30</v>
      </c>
    </row>
    <row r="53" spans="1:10" ht="17.649999999999999" customHeight="1" x14ac:dyDescent="0.3">
      <c r="A53" s="4">
        <v>45352</v>
      </c>
      <c r="B53" s="5" t="s">
        <v>8</v>
      </c>
      <c r="C53" s="4">
        <v>45352</v>
      </c>
      <c r="D53" s="5" t="s">
        <v>9</v>
      </c>
      <c r="E53" s="6">
        <v>603</v>
      </c>
      <c r="F53" s="6">
        <v>170234.56053067991</v>
      </c>
      <c r="G53" s="6">
        <v>102651440</v>
      </c>
      <c r="H53" s="6">
        <v>26195840</v>
      </c>
      <c r="I53" s="6">
        <f t="shared" si="0"/>
        <v>0</v>
      </c>
      <c r="J53" t="str" cm="1">
        <f t="array" ref="J53">_xlfn.IFS(
AND(I53&gt;=89,I53&lt;=92),"D-90",
AND(I53&gt;=58,I53&lt;=62),"D-60",
AND(I53&gt;=28,I53&lt;=32),"D-30",
AND(I53=0),"당월",
TRUE,"그외")</f>
        <v>당월</v>
      </c>
    </row>
    <row r="54" spans="1:10" ht="17.649999999999999" customHeight="1" x14ac:dyDescent="0.3">
      <c r="A54" s="4">
        <v>45352</v>
      </c>
      <c r="B54" s="5" t="s">
        <v>8</v>
      </c>
      <c r="C54" s="4">
        <v>45352</v>
      </c>
      <c r="D54" s="5" t="s">
        <v>10</v>
      </c>
      <c r="E54" s="6">
        <v>1639</v>
      </c>
      <c r="F54" s="6">
        <v>203586.87492373399</v>
      </c>
      <c r="G54" s="6">
        <v>333678888</v>
      </c>
      <c r="H54" s="6">
        <v>69390627</v>
      </c>
      <c r="I54" s="6">
        <f t="shared" si="0"/>
        <v>0</v>
      </c>
      <c r="J54" t="str" cm="1">
        <f t="array" ref="J54">_xlfn.IFS(
AND(I54&gt;=89,I54&lt;=92),"D-90",
AND(I54&gt;=58,I54&lt;=62),"D-60",
AND(I54&gt;=28,I54&lt;=32),"D-30",
AND(I54=0),"당월",
TRUE,"그외")</f>
        <v>당월</v>
      </c>
    </row>
    <row r="55" spans="1:10" ht="17.649999999999999" customHeight="1" x14ac:dyDescent="0.3">
      <c r="A55" s="4">
        <v>45352</v>
      </c>
      <c r="B55" s="5" t="s">
        <v>11</v>
      </c>
      <c r="C55" s="4">
        <v>45200</v>
      </c>
      <c r="D55" s="5" t="s">
        <v>10</v>
      </c>
      <c r="E55" s="6">
        <v>13</v>
      </c>
      <c r="F55" s="6">
        <v>244246.15384615379</v>
      </c>
      <c r="G55" s="6">
        <v>3175200</v>
      </c>
      <c r="H55" s="6">
        <v>795600</v>
      </c>
      <c r="I55" s="6">
        <f t="shared" si="0"/>
        <v>152</v>
      </c>
      <c r="J55" t="str" cm="1">
        <f t="array" ref="J55">_xlfn.IFS(
AND(I55&gt;=89,I55&lt;=92),"D-90",
AND(I55&gt;=58,I55&lt;=62),"D-60",
AND(I55&gt;=28,I55&lt;=32),"D-30",
AND(I55=0),"당월",
TRUE,"그외")</f>
        <v>그외</v>
      </c>
    </row>
    <row r="56" spans="1:10" ht="17.649999999999999" customHeight="1" x14ac:dyDescent="0.3">
      <c r="A56" s="4">
        <v>45352</v>
      </c>
      <c r="B56" s="5" t="s">
        <v>11</v>
      </c>
      <c r="C56" s="4">
        <v>45231</v>
      </c>
      <c r="D56" s="5" t="s">
        <v>10</v>
      </c>
      <c r="E56" s="6">
        <v>215</v>
      </c>
      <c r="F56" s="6">
        <v>230037.20930232559</v>
      </c>
      <c r="G56" s="6">
        <v>49458000</v>
      </c>
      <c r="H56" s="6">
        <v>13287000</v>
      </c>
      <c r="I56" s="6">
        <f t="shared" si="0"/>
        <v>121</v>
      </c>
      <c r="J56" t="str" cm="1">
        <f t="array" ref="J56">_xlfn.IFS(
AND(I56&gt;=89,I56&lt;=92),"D-90",
AND(I56&gt;=58,I56&lt;=62),"D-60",
AND(I56&gt;=28,I56&lt;=32),"D-30",
AND(I56=0),"당월",
TRUE,"그외")</f>
        <v>그외</v>
      </c>
    </row>
    <row r="57" spans="1:10" ht="17.649999999999999" customHeight="1" x14ac:dyDescent="0.3">
      <c r="A57" s="4">
        <v>45352</v>
      </c>
      <c r="B57" s="5" t="s">
        <v>11</v>
      </c>
      <c r="C57" s="4">
        <v>45261</v>
      </c>
      <c r="D57" s="5" t="s">
        <v>9</v>
      </c>
      <c r="E57" s="6">
        <v>273</v>
      </c>
      <c r="F57" s="6">
        <v>229668.49816849819</v>
      </c>
      <c r="G57" s="6">
        <v>62699500</v>
      </c>
      <c r="H57" s="6">
        <v>14605500</v>
      </c>
      <c r="I57" s="6">
        <f t="shared" si="0"/>
        <v>91</v>
      </c>
      <c r="J57" t="str" cm="1">
        <f t="array" ref="J57">_xlfn.IFS(
AND(I57&gt;=89,I57&lt;=92),"D-90",
AND(I57&gt;=58,I57&lt;=62),"D-60",
AND(I57&gt;=28,I57&lt;=32),"D-30",
AND(I57=0),"당월",
TRUE,"그외")</f>
        <v>D-90</v>
      </c>
    </row>
    <row r="58" spans="1:10" ht="17.649999999999999" customHeight="1" x14ac:dyDescent="0.3">
      <c r="A58" s="4">
        <v>45352</v>
      </c>
      <c r="B58" s="5" t="s">
        <v>11</v>
      </c>
      <c r="C58" s="4">
        <v>45261</v>
      </c>
      <c r="D58" s="5" t="s">
        <v>10</v>
      </c>
      <c r="E58" s="6">
        <v>799</v>
      </c>
      <c r="F58" s="6">
        <v>184976.93116395501</v>
      </c>
      <c r="G58" s="6">
        <v>147796568</v>
      </c>
      <c r="H58" s="6">
        <v>42867092</v>
      </c>
      <c r="I58" s="6">
        <f t="shared" si="0"/>
        <v>91</v>
      </c>
      <c r="J58" t="str" cm="1">
        <f t="array" ref="J58">_xlfn.IFS(
AND(I58&gt;=89,I58&lt;=92),"D-90",
AND(I58&gt;=58,I58&lt;=62),"D-60",
AND(I58&gt;=28,I58&lt;=32),"D-30",
AND(I58=0),"당월",
TRUE,"그외")</f>
        <v>D-90</v>
      </c>
    </row>
    <row r="59" spans="1:10" ht="17.649999999999999" customHeight="1" x14ac:dyDescent="0.3">
      <c r="A59" s="4">
        <v>45352</v>
      </c>
      <c r="B59" s="5" t="s">
        <v>11</v>
      </c>
      <c r="C59" s="4">
        <v>45292</v>
      </c>
      <c r="D59" s="5" t="s">
        <v>9</v>
      </c>
      <c r="E59" s="6">
        <v>517</v>
      </c>
      <c r="F59" s="6">
        <v>199707.9303675048</v>
      </c>
      <c r="G59" s="6">
        <v>103249000</v>
      </c>
      <c r="H59" s="6">
        <v>22231000</v>
      </c>
      <c r="I59" s="6">
        <f t="shared" si="0"/>
        <v>60</v>
      </c>
      <c r="J59" t="str" cm="1">
        <f t="array" ref="J59">_xlfn.IFS(
AND(I59&gt;=89,I59&lt;=92),"D-90",
AND(I59&gt;=58,I59&lt;=62),"D-60",
AND(I59&gt;=28,I59&lt;=32),"D-30",
AND(I59=0),"당월",
TRUE,"그외")</f>
        <v>D-60</v>
      </c>
    </row>
    <row r="60" spans="1:10" ht="17.649999999999999" customHeight="1" x14ac:dyDescent="0.3">
      <c r="A60" s="4">
        <v>45352</v>
      </c>
      <c r="B60" s="5" t="s">
        <v>11</v>
      </c>
      <c r="C60" s="4">
        <v>45292</v>
      </c>
      <c r="D60" s="5" t="s">
        <v>10</v>
      </c>
      <c r="E60" s="6">
        <v>728</v>
      </c>
      <c r="F60" s="6">
        <v>199643.0315934066</v>
      </c>
      <c r="G60" s="6">
        <v>145340127</v>
      </c>
      <c r="H60" s="6">
        <v>31243832</v>
      </c>
      <c r="I60" s="6">
        <f t="shared" si="0"/>
        <v>60</v>
      </c>
      <c r="J60" t="str" cm="1">
        <f t="array" ref="J60">_xlfn.IFS(
AND(I60&gt;=89,I60&lt;=92),"D-90",
AND(I60&gt;=58,I60&lt;=62),"D-60",
AND(I60&gt;=28,I60&lt;=32),"D-30",
AND(I60=0),"당월",
TRUE,"그외")</f>
        <v>D-60</v>
      </c>
    </row>
    <row r="61" spans="1:10" ht="17.649999999999999" customHeight="1" x14ac:dyDescent="0.3">
      <c r="A61" s="4">
        <v>45352</v>
      </c>
      <c r="B61" s="5" t="s">
        <v>11</v>
      </c>
      <c r="C61" s="4">
        <v>45323</v>
      </c>
      <c r="D61" s="5" t="s">
        <v>9</v>
      </c>
      <c r="E61" s="6">
        <v>1728</v>
      </c>
      <c r="F61" s="6">
        <v>226575.23148148149</v>
      </c>
      <c r="G61" s="6">
        <v>391522000</v>
      </c>
      <c r="H61" s="6">
        <v>74304000</v>
      </c>
      <c r="I61" s="6">
        <f t="shared" si="0"/>
        <v>29</v>
      </c>
      <c r="J61" t="str" cm="1">
        <f t="array" ref="J61">_xlfn.IFS(
AND(I61&gt;=89,I61&lt;=92),"D-90",
AND(I61&gt;=58,I61&lt;=62),"D-60",
AND(I61&gt;=28,I61&lt;=32),"D-30",
AND(I61=0),"당월",
TRUE,"그외")</f>
        <v>D-30</v>
      </c>
    </row>
    <row r="62" spans="1:10" ht="17.649999999999999" customHeight="1" x14ac:dyDescent="0.3">
      <c r="A62" s="4">
        <v>45352</v>
      </c>
      <c r="B62" s="5" t="s">
        <v>11</v>
      </c>
      <c r="C62" s="4">
        <v>45323</v>
      </c>
      <c r="D62" s="5" t="s">
        <v>10</v>
      </c>
      <c r="E62" s="6">
        <v>568</v>
      </c>
      <c r="F62" s="6">
        <v>237980.6496478873</v>
      </c>
      <c r="G62" s="6">
        <v>135173009</v>
      </c>
      <c r="H62" s="6">
        <v>23967958</v>
      </c>
      <c r="I62" s="6">
        <f t="shared" si="0"/>
        <v>29</v>
      </c>
      <c r="J62" t="str" cm="1">
        <f t="array" ref="J62">_xlfn.IFS(
AND(I62&gt;=89,I62&lt;=92),"D-90",
AND(I62&gt;=58,I62&lt;=62),"D-60",
AND(I62&gt;=28,I62&lt;=32),"D-30",
AND(I62=0),"당월",
TRUE,"그외")</f>
        <v>D-30</v>
      </c>
    </row>
    <row r="63" spans="1:10" ht="17.649999999999999" customHeight="1" x14ac:dyDescent="0.3">
      <c r="A63" s="4">
        <v>45352</v>
      </c>
      <c r="B63" s="5" t="s">
        <v>11</v>
      </c>
      <c r="C63" s="4">
        <v>45352</v>
      </c>
      <c r="D63" s="5" t="s">
        <v>9</v>
      </c>
      <c r="E63" s="6">
        <v>906</v>
      </c>
      <c r="F63" s="6">
        <v>212773.7306843267</v>
      </c>
      <c r="G63" s="6">
        <v>192773000</v>
      </c>
      <c r="H63" s="6">
        <v>39849000</v>
      </c>
      <c r="I63" s="6">
        <f t="shared" si="0"/>
        <v>0</v>
      </c>
      <c r="J63" t="str" cm="1">
        <f t="array" ref="J63">_xlfn.IFS(
AND(I63&gt;=89,I63&lt;=92),"D-90",
AND(I63&gt;=58,I63&lt;=62),"D-60",
AND(I63&gt;=28,I63&lt;=32),"D-30",
AND(I63=0),"당월",
TRUE,"그외")</f>
        <v>당월</v>
      </c>
    </row>
    <row r="64" spans="1:10" ht="17.649999999999999" customHeight="1" x14ac:dyDescent="0.3">
      <c r="A64" s="4">
        <v>45352</v>
      </c>
      <c r="B64" s="5" t="s">
        <v>11</v>
      </c>
      <c r="C64" s="4">
        <v>45352</v>
      </c>
      <c r="D64" s="5" t="s">
        <v>10</v>
      </c>
      <c r="E64" s="6">
        <v>444</v>
      </c>
      <c r="F64" s="6">
        <v>184159.55405405411</v>
      </c>
      <c r="G64" s="6">
        <v>81766842</v>
      </c>
      <c r="H64" s="6">
        <v>19097786</v>
      </c>
      <c r="I64" s="6">
        <f t="shared" si="0"/>
        <v>0</v>
      </c>
      <c r="J64" t="str" cm="1">
        <f t="array" ref="J64">_xlfn.IFS(
AND(I64&gt;=89,I64&lt;=92),"D-90",
AND(I64&gt;=58,I64&lt;=62),"D-60",
AND(I64&gt;=28,I64&lt;=32),"D-30",
AND(I64=0),"당월",
TRUE,"그외")</f>
        <v>당월</v>
      </c>
    </row>
    <row r="65" spans="1:10" ht="17.649999999999999" customHeight="1" x14ac:dyDescent="0.3">
      <c r="A65" s="4">
        <v>45352</v>
      </c>
      <c r="B65" s="5" t="s">
        <v>12</v>
      </c>
      <c r="C65" s="4">
        <v>45261</v>
      </c>
      <c r="D65" s="5" t="s">
        <v>9</v>
      </c>
      <c r="E65" s="6">
        <v>5</v>
      </c>
      <c r="F65" s="6">
        <v>0</v>
      </c>
      <c r="G65" s="6">
        <v>0</v>
      </c>
      <c r="H65" s="6">
        <v>0</v>
      </c>
      <c r="I65" s="6">
        <f t="shared" si="0"/>
        <v>91</v>
      </c>
      <c r="J65" t="str" cm="1">
        <f t="array" ref="J65">_xlfn.IFS(
AND(I65&gt;=89,I65&lt;=92),"D-90",
AND(I65&gt;=58,I65&lt;=62),"D-60",
AND(I65&gt;=28,I65&lt;=32),"D-30",
AND(I65=0),"당월",
TRUE,"그외")</f>
        <v>D-90</v>
      </c>
    </row>
    <row r="66" spans="1:10" ht="17.649999999999999" customHeight="1" x14ac:dyDescent="0.3">
      <c r="A66" s="4">
        <v>45352</v>
      </c>
      <c r="B66" s="5" t="s">
        <v>12</v>
      </c>
      <c r="C66" s="4">
        <v>45292</v>
      </c>
      <c r="D66" s="5" t="s">
        <v>9</v>
      </c>
      <c r="E66" s="6">
        <v>18</v>
      </c>
      <c r="F66" s="6">
        <v>5166666.666666667</v>
      </c>
      <c r="G66" s="6">
        <v>93000000</v>
      </c>
      <c r="H66" s="6">
        <v>0</v>
      </c>
      <c r="I66" s="6">
        <f t="shared" si="0"/>
        <v>60</v>
      </c>
      <c r="J66" t="str" cm="1">
        <f t="array" ref="J66">_xlfn.IFS(
AND(I66&gt;=89,I66&lt;=92),"D-90",
AND(I66&gt;=58,I66&lt;=62),"D-60",
AND(I66&gt;=28,I66&lt;=32),"D-30",
AND(I66=0),"당월",
TRUE,"그외")</f>
        <v>D-60</v>
      </c>
    </row>
    <row r="67" spans="1:10" ht="17.649999999999999" customHeight="1" x14ac:dyDescent="0.3">
      <c r="A67" s="4">
        <v>45352</v>
      </c>
      <c r="B67" s="5" t="s">
        <v>12</v>
      </c>
      <c r="C67" s="4">
        <v>45323</v>
      </c>
      <c r="D67" s="5" t="s">
        <v>9</v>
      </c>
      <c r="E67" s="6">
        <v>360</v>
      </c>
      <c r="F67" s="6">
        <v>1433.333333333333</v>
      </c>
      <c r="G67" s="6">
        <v>516000</v>
      </c>
      <c r="H67" s="6">
        <v>86000</v>
      </c>
      <c r="I67" s="6">
        <f t="shared" ref="I67:I130" si="1">A67-C67</f>
        <v>29</v>
      </c>
      <c r="J67" t="str" cm="1">
        <f t="array" ref="J67">_xlfn.IFS(
AND(I67&gt;=89,I67&lt;=92),"D-90",
AND(I67&gt;=58,I67&lt;=62),"D-60",
AND(I67&gt;=28,I67&lt;=32),"D-30",
AND(I67=0),"당월",
TRUE,"그외")</f>
        <v>D-30</v>
      </c>
    </row>
    <row r="68" spans="1:10" ht="17.649999999999999" customHeight="1" x14ac:dyDescent="0.3">
      <c r="A68" s="4">
        <v>45383</v>
      </c>
      <c r="B68" s="5" t="s">
        <v>8</v>
      </c>
      <c r="C68" s="4">
        <v>45323</v>
      </c>
      <c r="D68" s="5" t="s">
        <v>9</v>
      </c>
      <c r="E68" s="6">
        <v>3238</v>
      </c>
      <c r="F68" s="6">
        <v>157777.94935145151</v>
      </c>
      <c r="G68" s="6">
        <v>510885000</v>
      </c>
      <c r="H68" s="6">
        <v>139234000</v>
      </c>
      <c r="I68" s="6">
        <f t="shared" si="1"/>
        <v>60</v>
      </c>
      <c r="J68" t="str" cm="1">
        <f t="array" ref="J68">_xlfn.IFS(
AND(I68&gt;=89,I68&lt;=92),"D-90",
AND(I68&gt;=58,I68&lt;=62),"D-60",
AND(I68&gt;=28,I68&lt;=32),"D-30",
AND(I68=0),"당월",
TRUE,"그외")</f>
        <v>D-60</v>
      </c>
    </row>
    <row r="69" spans="1:10" ht="17.649999999999999" customHeight="1" x14ac:dyDescent="0.3">
      <c r="A69" s="4">
        <v>45383</v>
      </c>
      <c r="B69" s="5" t="s">
        <v>8</v>
      </c>
      <c r="C69" s="4">
        <v>45323</v>
      </c>
      <c r="D69" s="5" t="s">
        <v>10</v>
      </c>
      <c r="E69" s="6">
        <v>240</v>
      </c>
      <c r="F69" s="6">
        <v>248116.16250000001</v>
      </c>
      <c r="G69" s="6">
        <v>59547879</v>
      </c>
      <c r="H69" s="6">
        <v>10163825</v>
      </c>
      <c r="I69" s="6">
        <f t="shared" si="1"/>
        <v>60</v>
      </c>
      <c r="J69" t="str" cm="1">
        <f t="array" ref="J69">_xlfn.IFS(
AND(I69&gt;=89,I69&lt;=92),"D-90",
AND(I69&gt;=58,I69&lt;=62),"D-60",
AND(I69&gt;=28,I69&lt;=32),"D-30",
AND(I69=0),"당월",
TRUE,"그외")</f>
        <v>D-60</v>
      </c>
    </row>
    <row r="70" spans="1:10" ht="17.649999999999999" customHeight="1" x14ac:dyDescent="0.3">
      <c r="A70" s="4">
        <v>45383</v>
      </c>
      <c r="B70" s="5" t="s">
        <v>8</v>
      </c>
      <c r="C70" s="4">
        <v>45352</v>
      </c>
      <c r="D70" s="5" t="s">
        <v>9</v>
      </c>
      <c r="E70" s="6">
        <v>2673</v>
      </c>
      <c r="F70" s="6">
        <v>171621.77328843999</v>
      </c>
      <c r="G70" s="6">
        <v>458745000</v>
      </c>
      <c r="H70" s="6">
        <v>117606000</v>
      </c>
      <c r="I70" s="6">
        <f t="shared" si="1"/>
        <v>31</v>
      </c>
      <c r="J70" t="str" cm="1">
        <f t="array" ref="J70">_xlfn.IFS(
AND(I70&gt;=89,I70&lt;=92),"D-90",
AND(I70&gt;=58,I70&lt;=62),"D-60",
AND(I70&gt;=28,I70&lt;=32),"D-30",
AND(I70=0),"당월",
TRUE,"그외")</f>
        <v>D-30</v>
      </c>
    </row>
    <row r="71" spans="1:10" ht="17.649999999999999" customHeight="1" x14ac:dyDescent="0.3">
      <c r="A71" s="4">
        <v>45383</v>
      </c>
      <c r="B71" s="5" t="s">
        <v>8</v>
      </c>
      <c r="C71" s="4">
        <v>45352</v>
      </c>
      <c r="D71" s="5" t="s">
        <v>10</v>
      </c>
      <c r="E71" s="6">
        <v>1978</v>
      </c>
      <c r="F71" s="6">
        <v>201991.80637007079</v>
      </c>
      <c r="G71" s="6">
        <v>399539793</v>
      </c>
      <c r="H71" s="6">
        <v>83930512</v>
      </c>
      <c r="I71" s="6">
        <f t="shared" si="1"/>
        <v>31</v>
      </c>
      <c r="J71" t="str" cm="1">
        <f t="array" ref="J71">_xlfn.IFS(
AND(I71&gt;=89,I71&lt;=92),"D-90",
AND(I71&gt;=58,I71&lt;=62),"D-60",
AND(I71&gt;=28,I71&lt;=32),"D-30",
AND(I71=0),"당월",
TRUE,"그외")</f>
        <v>D-30</v>
      </c>
    </row>
    <row r="72" spans="1:10" ht="17.649999999999999" customHeight="1" x14ac:dyDescent="0.3">
      <c r="A72" s="4">
        <v>45383</v>
      </c>
      <c r="B72" s="5" t="s">
        <v>8</v>
      </c>
      <c r="C72" s="4">
        <v>45383</v>
      </c>
      <c r="D72" s="5" t="s">
        <v>9</v>
      </c>
      <c r="E72" s="6">
        <v>1465</v>
      </c>
      <c r="F72" s="6">
        <v>158990.98976109209</v>
      </c>
      <c r="G72" s="6">
        <v>232921800</v>
      </c>
      <c r="H72" s="6">
        <v>64161800</v>
      </c>
      <c r="I72" s="6">
        <f t="shared" si="1"/>
        <v>0</v>
      </c>
      <c r="J72" t="str" cm="1">
        <f t="array" ref="J72">_xlfn.IFS(
AND(I72&gt;=89,I72&lt;=92),"D-90",
AND(I72&gt;=58,I72&lt;=62),"D-60",
AND(I72&gt;=28,I72&lt;=32),"D-30",
AND(I72=0),"당월",
TRUE,"그외")</f>
        <v>당월</v>
      </c>
    </row>
    <row r="73" spans="1:10" ht="17.649999999999999" customHeight="1" x14ac:dyDescent="0.3">
      <c r="A73" s="4">
        <v>45383</v>
      </c>
      <c r="B73" s="5" t="s">
        <v>8</v>
      </c>
      <c r="C73" s="4">
        <v>45383</v>
      </c>
      <c r="D73" s="5" t="s">
        <v>10</v>
      </c>
      <c r="E73" s="6">
        <v>869</v>
      </c>
      <c r="F73" s="6">
        <v>173549.27272727271</v>
      </c>
      <c r="G73" s="6">
        <v>150814318</v>
      </c>
      <c r="H73" s="6">
        <v>34901783</v>
      </c>
      <c r="I73" s="6">
        <f t="shared" si="1"/>
        <v>0</v>
      </c>
      <c r="J73" t="str" cm="1">
        <f t="array" ref="J73">_xlfn.IFS(
AND(I73&gt;=89,I73&lt;=92),"D-90",
AND(I73&gt;=58,I73&lt;=62),"D-60",
AND(I73&gt;=28,I73&lt;=32),"D-30",
AND(I73=0),"당월",
TRUE,"그외")</f>
        <v>당월</v>
      </c>
    </row>
    <row r="74" spans="1:10" ht="17.649999999999999" customHeight="1" x14ac:dyDescent="0.3">
      <c r="A74" s="4">
        <v>45383</v>
      </c>
      <c r="B74" s="5" t="s">
        <v>11</v>
      </c>
      <c r="C74" s="4">
        <v>45323</v>
      </c>
      <c r="D74" s="5" t="s">
        <v>9</v>
      </c>
      <c r="E74" s="6">
        <v>180</v>
      </c>
      <c r="F74" s="6">
        <v>186000</v>
      </c>
      <c r="G74" s="6">
        <v>33480000</v>
      </c>
      <c r="H74" s="6">
        <v>7740000</v>
      </c>
      <c r="I74" s="6">
        <f t="shared" si="1"/>
        <v>60</v>
      </c>
      <c r="J74" t="str" cm="1">
        <f t="array" ref="J74">_xlfn.IFS(
AND(I74&gt;=89,I74&lt;=92),"D-90",
AND(I74&gt;=58,I74&lt;=62),"D-60",
AND(I74&gt;=28,I74&lt;=32),"D-30",
AND(I74=0),"당월",
TRUE,"그외")</f>
        <v>D-60</v>
      </c>
    </row>
    <row r="75" spans="1:10" ht="17.649999999999999" customHeight="1" x14ac:dyDescent="0.3">
      <c r="A75" s="4">
        <v>45383</v>
      </c>
      <c r="B75" s="5" t="s">
        <v>11</v>
      </c>
      <c r="C75" s="4">
        <v>45323</v>
      </c>
      <c r="D75" s="5" t="s">
        <v>10</v>
      </c>
      <c r="E75" s="6">
        <v>689</v>
      </c>
      <c r="F75" s="6">
        <v>206612.236574746</v>
      </c>
      <c r="G75" s="6">
        <v>142355831</v>
      </c>
      <c r="H75" s="6">
        <v>29519819</v>
      </c>
      <c r="I75" s="6">
        <f t="shared" si="1"/>
        <v>60</v>
      </c>
      <c r="J75" t="str" cm="1">
        <f t="array" ref="J75">_xlfn.IFS(
AND(I75&gt;=89,I75&lt;=92),"D-90",
AND(I75&gt;=58,I75&lt;=62),"D-60",
AND(I75&gt;=28,I75&lt;=32),"D-30",
AND(I75=0),"당월",
TRUE,"그외")</f>
        <v>D-60</v>
      </c>
    </row>
    <row r="76" spans="1:10" ht="17.649999999999999" customHeight="1" x14ac:dyDescent="0.3">
      <c r="A76" s="4">
        <v>45383</v>
      </c>
      <c r="B76" s="5" t="s">
        <v>11</v>
      </c>
      <c r="C76" s="4">
        <v>45352</v>
      </c>
      <c r="D76" s="5" t="s">
        <v>9</v>
      </c>
      <c r="E76" s="6">
        <v>2175</v>
      </c>
      <c r="F76" s="6">
        <v>180611.49425287361</v>
      </c>
      <c r="G76" s="6">
        <v>392830000</v>
      </c>
      <c r="H76" s="6">
        <v>95700000</v>
      </c>
      <c r="I76" s="6">
        <f t="shared" si="1"/>
        <v>31</v>
      </c>
      <c r="J76" t="str" cm="1">
        <f t="array" ref="J76">_xlfn.IFS(
AND(I76&gt;=89,I76&lt;=92),"D-90",
AND(I76&gt;=58,I76&lt;=62),"D-60",
AND(I76&gt;=28,I76&lt;=32),"D-30",
AND(I76=0),"당월",
TRUE,"그외")</f>
        <v>D-30</v>
      </c>
    </row>
    <row r="77" spans="1:10" ht="17.649999999999999" customHeight="1" x14ac:dyDescent="0.3">
      <c r="A77" s="4">
        <v>45383</v>
      </c>
      <c r="B77" s="5" t="s">
        <v>11</v>
      </c>
      <c r="C77" s="4">
        <v>45352</v>
      </c>
      <c r="D77" s="5" t="s">
        <v>10</v>
      </c>
      <c r="E77" s="6">
        <v>3691</v>
      </c>
      <c r="F77" s="6">
        <v>159400.9160119209</v>
      </c>
      <c r="G77" s="6">
        <v>588348781</v>
      </c>
      <c r="H77" s="6">
        <v>162074205</v>
      </c>
      <c r="I77" s="6">
        <f t="shared" si="1"/>
        <v>31</v>
      </c>
      <c r="J77" t="str" cm="1">
        <f t="array" ref="J77">_xlfn.IFS(
AND(I77&gt;=89,I77&lt;=92),"D-90",
AND(I77&gt;=58,I77&lt;=62),"D-60",
AND(I77&gt;=28,I77&lt;=32),"D-30",
AND(I77=0),"당월",
TRUE,"그외")</f>
        <v>D-30</v>
      </c>
    </row>
    <row r="78" spans="1:10" ht="17.649999999999999" customHeight="1" x14ac:dyDescent="0.3">
      <c r="A78" s="4">
        <v>45383</v>
      </c>
      <c r="B78" s="5" t="s">
        <v>11</v>
      </c>
      <c r="C78" s="4">
        <v>45383</v>
      </c>
      <c r="D78" s="5" t="s">
        <v>9</v>
      </c>
      <c r="E78" s="6">
        <v>1235</v>
      </c>
      <c r="F78" s="6">
        <v>164296.84210526309</v>
      </c>
      <c r="G78" s="6">
        <v>202906600</v>
      </c>
      <c r="H78" s="6">
        <v>54094600</v>
      </c>
      <c r="I78" s="6">
        <f t="shared" si="1"/>
        <v>0</v>
      </c>
      <c r="J78" t="str" cm="1">
        <f t="array" ref="J78">_xlfn.IFS(
AND(I78&gt;=89,I78&lt;=92),"D-90",
AND(I78&gt;=58,I78&lt;=62),"D-60",
AND(I78&gt;=28,I78&lt;=32),"D-30",
AND(I78=0),"당월",
TRUE,"그외")</f>
        <v>당월</v>
      </c>
    </row>
    <row r="79" spans="1:10" ht="17.649999999999999" customHeight="1" x14ac:dyDescent="0.3">
      <c r="A79" s="4">
        <v>45383</v>
      </c>
      <c r="B79" s="5" t="s">
        <v>11</v>
      </c>
      <c r="C79" s="4">
        <v>45383</v>
      </c>
      <c r="D79" s="5" t="s">
        <v>10</v>
      </c>
      <c r="E79" s="6">
        <v>1001</v>
      </c>
      <c r="F79" s="6">
        <v>173937.76523476519</v>
      </c>
      <c r="G79" s="6">
        <v>174111703</v>
      </c>
      <c r="H79" s="6">
        <v>43364901</v>
      </c>
      <c r="I79" s="6">
        <f t="shared" si="1"/>
        <v>0</v>
      </c>
      <c r="J79" t="str" cm="1">
        <f t="array" ref="J79">_xlfn.IFS(
AND(I79&gt;=89,I79&lt;=92),"D-90",
AND(I79&gt;=58,I79&lt;=62),"D-60",
AND(I79&gt;=28,I79&lt;=32),"D-30",
AND(I79=0),"당월",
TRUE,"그외")</f>
        <v>당월</v>
      </c>
    </row>
    <row r="80" spans="1:10" ht="17.649999999999999" customHeight="1" x14ac:dyDescent="0.3">
      <c r="A80" s="4">
        <v>45413</v>
      </c>
      <c r="B80" s="5" t="s">
        <v>8</v>
      </c>
      <c r="C80" s="4">
        <v>45323</v>
      </c>
      <c r="D80" s="5" t="s">
        <v>9</v>
      </c>
      <c r="E80" s="6">
        <v>615</v>
      </c>
      <c r="F80" s="6">
        <v>172295.9349593496</v>
      </c>
      <c r="G80" s="6">
        <v>105962000</v>
      </c>
      <c r="H80" s="6">
        <v>26445000</v>
      </c>
      <c r="I80" s="6">
        <f t="shared" si="1"/>
        <v>90</v>
      </c>
      <c r="J80" t="str" cm="1">
        <f t="array" ref="J80">_xlfn.IFS(
AND(I80&gt;=89,I80&lt;=92),"D-90",
AND(I80&gt;=58,I80&lt;=62),"D-60",
AND(I80&gt;=28,I80&lt;=32),"D-30",
AND(I80=0),"당월",
TRUE,"그외")</f>
        <v>D-90</v>
      </c>
    </row>
    <row r="81" spans="1:10" ht="17.649999999999999" customHeight="1" x14ac:dyDescent="0.3">
      <c r="A81" s="4">
        <v>45413</v>
      </c>
      <c r="B81" s="5" t="s">
        <v>8</v>
      </c>
      <c r="C81" s="4">
        <v>45323</v>
      </c>
      <c r="D81" s="5" t="s">
        <v>10</v>
      </c>
      <c r="E81" s="6">
        <v>198</v>
      </c>
      <c r="F81" s="6">
        <v>273057.82828282833</v>
      </c>
      <c r="G81" s="6">
        <v>54065450</v>
      </c>
      <c r="H81" s="6">
        <v>8536470</v>
      </c>
      <c r="I81" s="6">
        <f t="shared" si="1"/>
        <v>90</v>
      </c>
      <c r="J81" t="str" cm="1">
        <f t="array" ref="J81">_xlfn.IFS(
AND(I81&gt;=89,I81&lt;=92),"D-90",
AND(I81&gt;=58,I81&lt;=62),"D-60",
AND(I81&gt;=28,I81&lt;=32),"D-30",
AND(I81=0),"당월",
TRUE,"그외")</f>
        <v>D-90</v>
      </c>
    </row>
    <row r="82" spans="1:10" ht="17.649999999999999" customHeight="1" x14ac:dyDescent="0.3">
      <c r="A82" s="4">
        <v>45413</v>
      </c>
      <c r="B82" s="5" t="s">
        <v>8</v>
      </c>
      <c r="C82" s="4">
        <v>45352</v>
      </c>
      <c r="D82" s="5" t="s">
        <v>9</v>
      </c>
      <c r="E82" s="6">
        <v>1124</v>
      </c>
      <c r="F82" s="6">
        <v>191479.537366548</v>
      </c>
      <c r="G82" s="6">
        <v>215223000</v>
      </c>
      <c r="H82" s="6">
        <v>49456000</v>
      </c>
      <c r="I82" s="6">
        <f t="shared" si="1"/>
        <v>61</v>
      </c>
      <c r="J82" t="str" cm="1">
        <f t="array" ref="J82">_xlfn.IFS(
AND(I82&gt;=89,I82&lt;=92),"D-90",
AND(I82&gt;=58,I82&lt;=62),"D-60",
AND(I82&gt;=28,I82&lt;=32),"D-30",
AND(I82=0),"당월",
TRUE,"그외")</f>
        <v>D-60</v>
      </c>
    </row>
    <row r="83" spans="1:10" ht="17.649999999999999" customHeight="1" x14ac:dyDescent="0.3">
      <c r="A83" s="4">
        <v>45413</v>
      </c>
      <c r="B83" s="5" t="s">
        <v>8</v>
      </c>
      <c r="C83" s="4">
        <v>45352</v>
      </c>
      <c r="D83" s="5" t="s">
        <v>10</v>
      </c>
      <c r="E83" s="6">
        <v>1439</v>
      </c>
      <c r="F83" s="6">
        <v>200974.425990271</v>
      </c>
      <c r="G83" s="6">
        <v>289202199</v>
      </c>
      <c r="H83" s="6">
        <v>61881982</v>
      </c>
      <c r="I83" s="6">
        <f t="shared" si="1"/>
        <v>61</v>
      </c>
      <c r="J83" t="str" cm="1">
        <f t="array" ref="J83">_xlfn.IFS(
AND(I83&gt;=89,I83&lt;=92),"D-90",
AND(I83&gt;=58,I83&lt;=62),"D-60",
AND(I83&gt;=28,I83&lt;=32),"D-30",
AND(I83=0),"당월",
TRUE,"그외")</f>
        <v>D-60</v>
      </c>
    </row>
    <row r="84" spans="1:10" ht="17.649999999999999" customHeight="1" x14ac:dyDescent="0.3">
      <c r="A84" s="4">
        <v>45413</v>
      </c>
      <c r="B84" s="5" t="s">
        <v>8</v>
      </c>
      <c r="C84" s="4">
        <v>45383</v>
      </c>
      <c r="D84" s="5" t="s">
        <v>9</v>
      </c>
      <c r="E84" s="6">
        <v>2823</v>
      </c>
      <c r="F84" s="6">
        <v>154059.79454481049</v>
      </c>
      <c r="G84" s="6">
        <v>434910800</v>
      </c>
      <c r="H84" s="6">
        <v>123645800</v>
      </c>
      <c r="I84" s="6">
        <f t="shared" si="1"/>
        <v>30</v>
      </c>
      <c r="J84" t="str" cm="1">
        <f t="array" ref="J84">_xlfn.IFS(
AND(I84&gt;=89,I84&lt;=92),"D-90",
AND(I84&gt;=58,I84&lt;=62),"D-60",
AND(I84&gt;=28,I84&lt;=32),"D-30",
AND(I84=0),"당월",
TRUE,"그외")</f>
        <v>D-30</v>
      </c>
    </row>
    <row r="85" spans="1:10" ht="17.649999999999999" customHeight="1" x14ac:dyDescent="0.3">
      <c r="A85" s="4">
        <v>45413</v>
      </c>
      <c r="B85" s="5" t="s">
        <v>8</v>
      </c>
      <c r="C85" s="4">
        <v>45383</v>
      </c>
      <c r="D85" s="5" t="s">
        <v>10</v>
      </c>
      <c r="E85" s="6">
        <v>1873</v>
      </c>
      <c r="F85" s="6">
        <v>174721.9434063001</v>
      </c>
      <c r="G85" s="6">
        <v>327254200</v>
      </c>
      <c r="H85" s="6">
        <v>79609313</v>
      </c>
      <c r="I85" s="6">
        <f t="shared" si="1"/>
        <v>30</v>
      </c>
      <c r="J85" t="str" cm="1">
        <f t="array" ref="J85">_xlfn.IFS(
AND(I85&gt;=89,I85&lt;=92),"D-90",
AND(I85&gt;=58,I85&lt;=62),"D-60",
AND(I85&gt;=28,I85&lt;=32),"D-30",
AND(I85=0),"당월",
TRUE,"그외")</f>
        <v>D-30</v>
      </c>
    </row>
    <row r="86" spans="1:10" ht="17.649999999999999" customHeight="1" x14ac:dyDescent="0.3">
      <c r="A86" s="4">
        <v>45413</v>
      </c>
      <c r="B86" s="5" t="s">
        <v>8</v>
      </c>
      <c r="C86" s="4">
        <v>45413</v>
      </c>
      <c r="D86" s="5" t="s">
        <v>9</v>
      </c>
      <c r="E86" s="6">
        <v>1171</v>
      </c>
      <c r="F86" s="6">
        <v>134115.54227156279</v>
      </c>
      <c r="G86" s="6">
        <v>157049300</v>
      </c>
      <c r="H86" s="6">
        <v>52095300</v>
      </c>
      <c r="I86" s="6">
        <f t="shared" si="1"/>
        <v>0</v>
      </c>
      <c r="J86" t="str" cm="1">
        <f t="array" ref="J86">_xlfn.IFS(
AND(I86&gt;=89,I86&lt;=92),"D-90",
AND(I86&gt;=58,I86&lt;=62),"D-60",
AND(I86&gt;=28,I86&lt;=32),"D-30",
AND(I86=0),"당월",
TRUE,"그외")</f>
        <v>당월</v>
      </c>
    </row>
    <row r="87" spans="1:10" ht="17.649999999999999" customHeight="1" x14ac:dyDescent="0.3">
      <c r="A87" s="4">
        <v>45413</v>
      </c>
      <c r="B87" s="5" t="s">
        <v>8</v>
      </c>
      <c r="C87" s="4">
        <v>45413</v>
      </c>
      <c r="D87" s="5" t="s">
        <v>10</v>
      </c>
      <c r="E87" s="6">
        <v>834</v>
      </c>
      <c r="F87" s="6">
        <v>138962.04316546759</v>
      </c>
      <c r="G87" s="6">
        <v>115894344</v>
      </c>
      <c r="H87" s="6">
        <v>35413863</v>
      </c>
      <c r="I87" s="6">
        <f t="shared" si="1"/>
        <v>0</v>
      </c>
      <c r="J87" t="str" cm="1">
        <f t="array" ref="J87">_xlfn.IFS(
AND(I87&gt;=89,I87&lt;=92),"D-90",
AND(I87&gt;=58,I87&lt;=62),"D-60",
AND(I87&gt;=28,I87&lt;=32),"D-30",
AND(I87=0),"당월",
TRUE,"그외")</f>
        <v>당월</v>
      </c>
    </row>
    <row r="88" spans="1:10" ht="17.649999999999999" customHeight="1" x14ac:dyDescent="0.3">
      <c r="A88" s="4">
        <v>45413</v>
      </c>
      <c r="B88" s="5" t="s">
        <v>11</v>
      </c>
      <c r="C88" s="4">
        <v>45323</v>
      </c>
      <c r="D88" s="5" t="s">
        <v>10</v>
      </c>
      <c r="E88" s="6">
        <v>261</v>
      </c>
      <c r="F88" s="6">
        <v>235400.14176245211</v>
      </c>
      <c r="G88" s="6">
        <v>61439437</v>
      </c>
      <c r="H88" s="6">
        <v>11204395</v>
      </c>
      <c r="I88" s="6">
        <f t="shared" si="1"/>
        <v>90</v>
      </c>
      <c r="J88" t="str" cm="1">
        <f t="array" ref="J88">_xlfn.IFS(
AND(I88&gt;=89,I88&lt;=92),"D-90",
AND(I88&gt;=58,I88&lt;=62),"D-60",
AND(I88&gt;=28,I88&lt;=32),"D-30",
AND(I88=0),"당월",
TRUE,"그외")</f>
        <v>D-90</v>
      </c>
    </row>
    <row r="89" spans="1:10" ht="17.649999999999999" customHeight="1" x14ac:dyDescent="0.3">
      <c r="A89" s="4">
        <v>45413</v>
      </c>
      <c r="B89" s="5" t="s">
        <v>11</v>
      </c>
      <c r="C89" s="4">
        <v>45352</v>
      </c>
      <c r="D89" s="5" t="s">
        <v>9</v>
      </c>
      <c r="E89" s="6">
        <v>108</v>
      </c>
      <c r="F89" s="6">
        <v>202518.51851851851</v>
      </c>
      <c r="G89" s="6">
        <v>21872000</v>
      </c>
      <c r="H89" s="6">
        <v>4752000</v>
      </c>
      <c r="I89" s="6">
        <f t="shared" si="1"/>
        <v>61</v>
      </c>
      <c r="J89" t="str" cm="1">
        <f t="array" ref="J89">_xlfn.IFS(
AND(I89&gt;=89,I89&lt;=92),"D-90",
AND(I89&gt;=58,I89&lt;=62),"D-60",
AND(I89&gt;=28,I89&lt;=32),"D-30",
AND(I89=0),"당월",
TRUE,"그외")</f>
        <v>D-60</v>
      </c>
    </row>
    <row r="90" spans="1:10" ht="17.649999999999999" customHeight="1" x14ac:dyDescent="0.3">
      <c r="A90" s="4">
        <v>45413</v>
      </c>
      <c r="B90" s="5" t="s">
        <v>11</v>
      </c>
      <c r="C90" s="4">
        <v>45352</v>
      </c>
      <c r="D90" s="5" t="s">
        <v>10</v>
      </c>
      <c r="E90" s="6">
        <v>2216</v>
      </c>
      <c r="F90" s="6">
        <v>189623.31137184109</v>
      </c>
      <c r="G90" s="6">
        <v>420205258</v>
      </c>
      <c r="H90" s="6">
        <v>97294148</v>
      </c>
      <c r="I90" s="6">
        <f t="shared" si="1"/>
        <v>61</v>
      </c>
      <c r="J90" t="str" cm="1">
        <f t="array" ref="J90">_xlfn.IFS(
AND(I90&gt;=89,I90&lt;=92),"D-90",
AND(I90&gt;=58,I90&lt;=62),"D-60",
AND(I90&gt;=28,I90&lt;=32),"D-30",
AND(I90=0),"당월",
TRUE,"그외")</f>
        <v>D-60</v>
      </c>
    </row>
    <row r="91" spans="1:10" ht="17.649999999999999" customHeight="1" x14ac:dyDescent="0.3">
      <c r="A91" s="4">
        <v>45413</v>
      </c>
      <c r="B91" s="5" t="s">
        <v>11</v>
      </c>
      <c r="C91" s="4">
        <v>45383</v>
      </c>
      <c r="D91" s="5" t="s">
        <v>9</v>
      </c>
      <c r="E91" s="6">
        <v>1691</v>
      </c>
      <c r="F91" s="6">
        <v>174651.56712004729</v>
      </c>
      <c r="G91" s="6">
        <v>295335800</v>
      </c>
      <c r="H91" s="6">
        <v>74065800</v>
      </c>
      <c r="I91" s="6">
        <f t="shared" si="1"/>
        <v>30</v>
      </c>
      <c r="J91" t="str" cm="1">
        <f t="array" ref="J91">_xlfn.IFS(
AND(I91&gt;=89,I91&lt;=92),"D-90",
AND(I91&gt;=58,I91&lt;=62),"D-60",
AND(I91&gt;=28,I91&lt;=32),"D-30",
AND(I91=0),"당월",
TRUE,"그외")</f>
        <v>D-30</v>
      </c>
    </row>
    <row r="92" spans="1:10" ht="17.649999999999999" customHeight="1" x14ac:dyDescent="0.3">
      <c r="A92" s="4">
        <v>45413</v>
      </c>
      <c r="B92" s="5" t="s">
        <v>11</v>
      </c>
      <c r="C92" s="4">
        <v>45383</v>
      </c>
      <c r="D92" s="5" t="s">
        <v>10</v>
      </c>
      <c r="E92" s="6">
        <v>2915</v>
      </c>
      <c r="F92" s="6">
        <v>180513.33790737571</v>
      </c>
      <c r="G92" s="6">
        <v>526196380</v>
      </c>
      <c r="H92" s="6">
        <v>126994245</v>
      </c>
      <c r="I92" s="6">
        <f t="shared" si="1"/>
        <v>30</v>
      </c>
      <c r="J92" t="str" cm="1">
        <f t="array" ref="J92">_xlfn.IFS(
AND(I92&gt;=89,I92&lt;=92),"D-90",
AND(I92&gt;=58,I92&lt;=62),"D-60",
AND(I92&gt;=28,I92&lt;=32),"D-30",
AND(I92=0),"당월",
TRUE,"그외")</f>
        <v>D-30</v>
      </c>
    </row>
    <row r="93" spans="1:10" ht="17.649999999999999" customHeight="1" x14ac:dyDescent="0.3">
      <c r="A93" s="4">
        <v>45413</v>
      </c>
      <c r="B93" s="5" t="s">
        <v>11</v>
      </c>
      <c r="C93" s="4">
        <v>45413</v>
      </c>
      <c r="D93" s="5" t="s">
        <v>9</v>
      </c>
      <c r="E93" s="6">
        <v>396</v>
      </c>
      <c r="F93" s="6">
        <v>159137.87878787881</v>
      </c>
      <c r="G93" s="6">
        <v>63018600</v>
      </c>
      <c r="H93" s="6">
        <v>17620600</v>
      </c>
      <c r="I93" s="6">
        <f t="shared" si="1"/>
        <v>0</v>
      </c>
      <c r="J93" t="str" cm="1">
        <f t="array" ref="J93">_xlfn.IFS(
AND(I93&gt;=89,I93&lt;=92),"D-90",
AND(I93&gt;=58,I93&lt;=62),"D-60",
AND(I93&gt;=28,I93&lt;=32),"D-30",
AND(I93=0),"당월",
TRUE,"그외")</f>
        <v>당월</v>
      </c>
    </row>
    <row r="94" spans="1:10" ht="17.649999999999999" customHeight="1" x14ac:dyDescent="0.3">
      <c r="A94" s="4">
        <v>45413</v>
      </c>
      <c r="B94" s="5" t="s">
        <v>11</v>
      </c>
      <c r="C94" s="4">
        <v>45413</v>
      </c>
      <c r="D94" s="5" t="s">
        <v>10</v>
      </c>
      <c r="E94" s="6">
        <v>1215</v>
      </c>
      <c r="F94" s="6">
        <v>144663.46584362141</v>
      </c>
      <c r="G94" s="6">
        <v>175766111</v>
      </c>
      <c r="H94" s="6">
        <v>53479583</v>
      </c>
      <c r="I94" s="6">
        <f t="shared" si="1"/>
        <v>0</v>
      </c>
      <c r="J94" t="str" cm="1">
        <f t="array" ref="J94">_xlfn.IFS(
AND(I94&gt;=89,I94&lt;=92),"D-90",
AND(I94&gt;=58,I94&lt;=62),"D-60",
AND(I94&gt;=28,I94&lt;=32),"D-30",
AND(I94=0),"당월",
TRUE,"그외")</f>
        <v>당월</v>
      </c>
    </row>
    <row r="95" spans="1:10" ht="17.649999999999999" customHeight="1" x14ac:dyDescent="0.3">
      <c r="A95" s="4">
        <v>45413</v>
      </c>
      <c r="B95" s="5" t="s">
        <v>12</v>
      </c>
      <c r="C95" s="4">
        <v>45413</v>
      </c>
      <c r="D95" s="5" t="s">
        <v>9</v>
      </c>
      <c r="E95" s="6">
        <v>65</v>
      </c>
      <c r="F95" s="6">
        <v>152458.4615384615</v>
      </c>
      <c r="G95" s="6">
        <v>9909800</v>
      </c>
      <c r="H95" s="6">
        <v>2859800</v>
      </c>
      <c r="I95" s="6">
        <f t="shared" si="1"/>
        <v>0</v>
      </c>
      <c r="J95" t="str" cm="1">
        <f t="array" ref="J95">_xlfn.IFS(
AND(I95&gt;=89,I95&lt;=92),"D-90",
AND(I95&gt;=58,I95&lt;=62),"D-60",
AND(I95&gt;=28,I95&lt;=32),"D-30",
AND(I95=0),"당월",
TRUE,"그외")</f>
        <v>당월</v>
      </c>
    </row>
    <row r="96" spans="1:10" ht="17.649999999999999" customHeight="1" x14ac:dyDescent="0.3">
      <c r="A96" s="4">
        <v>45413</v>
      </c>
      <c r="B96" s="5" t="s">
        <v>12</v>
      </c>
      <c r="C96" s="4">
        <v>45413</v>
      </c>
      <c r="D96" s="5" t="s">
        <v>10</v>
      </c>
      <c r="E96" s="6">
        <v>21</v>
      </c>
      <c r="F96" s="6">
        <v>181181.1904761905</v>
      </c>
      <c r="G96" s="6">
        <v>3804805</v>
      </c>
      <c r="H96" s="6">
        <v>924805</v>
      </c>
      <c r="I96" s="6">
        <f t="shared" si="1"/>
        <v>0</v>
      </c>
      <c r="J96" t="str" cm="1">
        <f t="array" ref="J96">_xlfn.IFS(
AND(I96&gt;=89,I96&lt;=92),"D-90",
AND(I96&gt;=58,I96&lt;=62),"D-60",
AND(I96&gt;=28,I96&lt;=32),"D-30",
AND(I96=0),"당월",
TRUE,"그외")</f>
        <v>당월</v>
      </c>
    </row>
    <row r="97" spans="1:10" ht="17.649999999999999" customHeight="1" x14ac:dyDescent="0.3">
      <c r="A97" s="4">
        <v>45413</v>
      </c>
      <c r="B97" s="5" t="s">
        <v>13</v>
      </c>
      <c r="C97" s="4">
        <v>45352</v>
      </c>
      <c r="D97" s="5" t="s">
        <v>9</v>
      </c>
      <c r="E97" s="6">
        <v>1953</v>
      </c>
      <c r="F97" s="6">
        <v>156223.24628776239</v>
      </c>
      <c r="G97" s="6">
        <v>305104000</v>
      </c>
      <c r="H97" s="6">
        <v>85932000</v>
      </c>
      <c r="I97" s="6">
        <f t="shared" si="1"/>
        <v>61</v>
      </c>
      <c r="J97" t="str" cm="1">
        <f t="array" ref="J97">_xlfn.IFS(
AND(I97&gt;=89,I97&lt;=92),"D-90",
AND(I97&gt;=58,I97&lt;=62),"D-60",
AND(I97&gt;=28,I97&lt;=32),"D-30",
AND(I97=0),"당월",
TRUE,"그외")</f>
        <v>D-60</v>
      </c>
    </row>
    <row r="98" spans="1:10" ht="17.649999999999999" customHeight="1" x14ac:dyDescent="0.3">
      <c r="A98" s="4">
        <v>45413</v>
      </c>
      <c r="B98" s="5" t="s">
        <v>13</v>
      </c>
      <c r="C98" s="4">
        <v>45352</v>
      </c>
      <c r="D98" s="5" t="s">
        <v>10</v>
      </c>
      <c r="E98" s="6">
        <v>1383</v>
      </c>
      <c r="F98" s="6">
        <v>221313.69848156179</v>
      </c>
      <c r="G98" s="6">
        <v>306076845</v>
      </c>
      <c r="H98" s="6">
        <v>60331603</v>
      </c>
      <c r="I98" s="6">
        <f t="shared" si="1"/>
        <v>61</v>
      </c>
      <c r="J98" t="str" cm="1">
        <f t="array" ref="J98">_xlfn.IFS(
AND(I98&gt;=89,I98&lt;=92),"D-90",
AND(I98&gt;=58,I98&lt;=62),"D-60",
AND(I98&gt;=28,I98&lt;=32),"D-30",
AND(I98=0),"당월",
TRUE,"그외")</f>
        <v>D-60</v>
      </c>
    </row>
    <row r="99" spans="1:10" ht="17.649999999999999" customHeight="1" x14ac:dyDescent="0.3">
      <c r="A99" s="4">
        <v>45413</v>
      </c>
      <c r="B99" s="5" t="s">
        <v>13</v>
      </c>
      <c r="C99" s="4">
        <v>45383</v>
      </c>
      <c r="D99" s="5" t="s">
        <v>9</v>
      </c>
      <c r="E99" s="6">
        <v>1754</v>
      </c>
      <c r="F99" s="6">
        <v>177632.49714937291</v>
      </c>
      <c r="G99" s="6">
        <v>311567400</v>
      </c>
      <c r="H99" s="6">
        <v>76826400</v>
      </c>
      <c r="I99" s="6">
        <f t="shared" si="1"/>
        <v>30</v>
      </c>
      <c r="J99" t="str" cm="1">
        <f t="array" ref="J99">_xlfn.IFS(
AND(I99&gt;=89,I99&lt;=92),"D-90",
AND(I99&gt;=58,I99&lt;=62),"D-60",
AND(I99&gt;=28,I99&lt;=32),"D-30",
AND(I99=0),"당월",
TRUE,"그외")</f>
        <v>D-30</v>
      </c>
    </row>
    <row r="100" spans="1:10" ht="17.649999999999999" customHeight="1" x14ac:dyDescent="0.3">
      <c r="A100" s="4">
        <v>45413</v>
      </c>
      <c r="B100" s="5" t="s">
        <v>13</v>
      </c>
      <c r="C100" s="4">
        <v>45383</v>
      </c>
      <c r="D100" s="5" t="s">
        <v>10</v>
      </c>
      <c r="E100" s="6">
        <v>2168</v>
      </c>
      <c r="F100" s="6">
        <v>190474.66005535051</v>
      </c>
      <c r="G100" s="6">
        <v>412949063</v>
      </c>
      <c r="H100" s="6">
        <v>94488229</v>
      </c>
      <c r="I100" s="6">
        <f t="shared" si="1"/>
        <v>30</v>
      </c>
      <c r="J100" t="str" cm="1">
        <f t="array" ref="J100">_xlfn.IFS(
AND(I100&gt;=89,I100&lt;=92),"D-90",
AND(I100&gt;=58,I100&lt;=62),"D-60",
AND(I100&gt;=28,I100&lt;=32),"D-30",
AND(I100=0),"당월",
TRUE,"그외")</f>
        <v>D-30</v>
      </c>
    </row>
    <row r="101" spans="1:10" ht="17.649999999999999" customHeight="1" x14ac:dyDescent="0.3">
      <c r="A101" s="4">
        <v>45413</v>
      </c>
      <c r="B101" s="5" t="s">
        <v>13</v>
      </c>
      <c r="C101" s="4">
        <v>45413</v>
      </c>
      <c r="D101" s="5" t="s">
        <v>9</v>
      </c>
      <c r="E101" s="6">
        <v>1029</v>
      </c>
      <c r="F101" s="6">
        <v>154783.4791059281</v>
      </c>
      <c r="G101" s="6">
        <v>159272200</v>
      </c>
      <c r="H101" s="6">
        <v>45747200</v>
      </c>
      <c r="I101" s="6">
        <f t="shared" si="1"/>
        <v>0</v>
      </c>
      <c r="J101" t="str" cm="1">
        <f t="array" ref="J101">_xlfn.IFS(
AND(I101&gt;=89,I101&lt;=92),"D-90",
AND(I101&gt;=58,I101&lt;=62),"D-60",
AND(I101&gt;=28,I101&lt;=32),"D-30",
AND(I101=0),"당월",
TRUE,"그외")</f>
        <v>당월</v>
      </c>
    </row>
    <row r="102" spans="1:10" ht="17.649999999999999" customHeight="1" x14ac:dyDescent="0.3">
      <c r="A102" s="4">
        <v>45413</v>
      </c>
      <c r="B102" s="5" t="s">
        <v>13</v>
      </c>
      <c r="C102" s="4">
        <v>45413</v>
      </c>
      <c r="D102" s="5" t="s">
        <v>10</v>
      </c>
      <c r="E102" s="6">
        <v>1077</v>
      </c>
      <c r="F102" s="6">
        <v>144572.2386258124</v>
      </c>
      <c r="G102" s="6">
        <v>155704301</v>
      </c>
      <c r="H102" s="6">
        <v>46895196</v>
      </c>
      <c r="I102" s="6">
        <f t="shared" si="1"/>
        <v>0</v>
      </c>
      <c r="J102" t="str" cm="1">
        <f t="array" ref="J102">_xlfn.IFS(
AND(I102&gt;=89,I102&lt;=92),"D-90",
AND(I102&gt;=58,I102&lt;=62),"D-60",
AND(I102&gt;=28,I102&lt;=32),"D-30",
AND(I102=0),"당월",
TRUE,"그외")</f>
        <v>당월</v>
      </c>
    </row>
    <row r="103" spans="1:10" ht="17.649999999999999" customHeight="1" x14ac:dyDescent="0.3">
      <c r="A103" s="4">
        <v>45444</v>
      </c>
      <c r="B103" s="5" t="s">
        <v>8</v>
      </c>
      <c r="C103" s="4">
        <v>45323</v>
      </c>
      <c r="D103" s="5" t="s">
        <v>9</v>
      </c>
      <c r="E103" s="6">
        <v>45</v>
      </c>
      <c r="F103" s="6">
        <v>184333.33333333331</v>
      </c>
      <c r="G103" s="6">
        <v>8295000</v>
      </c>
      <c r="H103" s="6">
        <v>1935000</v>
      </c>
      <c r="I103" s="6">
        <f t="shared" si="1"/>
        <v>121</v>
      </c>
      <c r="J103" t="str" cm="1">
        <f t="array" ref="J103">_xlfn.IFS(
AND(I103&gt;=89,I103&lt;=92),"D-90",
AND(I103&gt;=58,I103&lt;=62),"D-60",
AND(I103&gt;=28,I103&lt;=32),"D-30",
AND(I103=0),"당월",
TRUE,"그외")</f>
        <v>그외</v>
      </c>
    </row>
    <row r="104" spans="1:10" ht="17.649999999999999" customHeight="1" x14ac:dyDescent="0.3">
      <c r="A104" s="4">
        <v>45444</v>
      </c>
      <c r="B104" s="5" t="s">
        <v>8</v>
      </c>
      <c r="C104" s="4">
        <v>45323</v>
      </c>
      <c r="D104" s="5" t="s">
        <v>10</v>
      </c>
      <c r="E104" s="6">
        <v>70</v>
      </c>
      <c r="F104" s="6">
        <v>292436.08571428573</v>
      </c>
      <c r="G104" s="6">
        <v>20470526</v>
      </c>
      <c r="H104" s="6">
        <v>3003980</v>
      </c>
      <c r="I104" s="6">
        <f t="shared" si="1"/>
        <v>121</v>
      </c>
      <c r="J104" t="str" cm="1">
        <f t="array" ref="J104">_xlfn.IFS(
AND(I104&gt;=89,I104&lt;=92),"D-90",
AND(I104&gt;=58,I104&lt;=62),"D-60",
AND(I104&gt;=28,I104&lt;=32),"D-30",
AND(I104=0),"당월",
TRUE,"그외")</f>
        <v>그외</v>
      </c>
    </row>
    <row r="105" spans="1:10" ht="17.649999999999999" customHeight="1" x14ac:dyDescent="0.3">
      <c r="A105" s="4">
        <v>45444</v>
      </c>
      <c r="B105" s="5" t="s">
        <v>8</v>
      </c>
      <c r="C105" s="4">
        <v>45352</v>
      </c>
      <c r="D105" s="5" t="s">
        <v>9</v>
      </c>
      <c r="E105" s="6">
        <v>229</v>
      </c>
      <c r="F105" s="6">
        <v>235318.77729257639</v>
      </c>
      <c r="G105" s="6">
        <v>53888000</v>
      </c>
      <c r="H105" s="6">
        <v>10076000</v>
      </c>
      <c r="I105" s="6">
        <f t="shared" si="1"/>
        <v>92</v>
      </c>
      <c r="J105" t="str" cm="1">
        <f t="array" ref="J105">_xlfn.IFS(
AND(I105&gt;=89,I105&lt;=92),"D-90",
AND(I105&gt;=58,I105&lt;=62),"D-60",
AND(I105&gt;=28,I105&lt;=32),"D-30",
AND(I105=0),"당월",
TRUE,"그외")</f>
        <v>D-90</v>
      </c>
    </row>
    <row r="106" spans="1:10" ht="17.649999999999999" customHeight="1" x14ac:dyDescent="0.3">
      <c r="A106" s="4">
        <v>45444</v>
      </c>
      <c r="B106" s="5" t="s">
        <v>8</v>
      </c>
      <c r="C106" s="4">
        <v>45352</v>
      </c>
      <c r="D106" s="5" t="s">
        <v>10</v>
      </c>
      <c r="E106" s="6">
        <v>657</v>
      </c>
      <c r="F106" s="6">
        <v>194244.7914764079</v>
      </c>
      <c r="G106" s="6">
        <v>127618828</v>
      </c>
      <c r="H106" s="6">
        <v>28114602</v>
      </c>
      <c r="I106" s="6">
        <f t="shared" si="1"/>
        <v>92</v>
      </c>
      <c r="J106" t="str" cm="1">
        <f t="array" ref="J106">_xlfn.IFS(
AND(I106&gt;=89,I106&lt;=92),"D-90",
AND(I106&gt;=58,I106&lt;=62),"D-60",
AND(I106&gt;=28,I106&lt;=32),"D-30",
AND(I106=0),"당월",
TRUE,"그외")</f>
        <v>D-90</v>
      </c>
    </row>
    <row r="107" spans="1:10" ht="17.649999999999999" customHeight="1" x14ac:dyDescent="0.3">
      <c r="A107" s="4">
        <v>45444</v>
      </c>
      <c r="B107" s="5" t="s">
        <v>8</v>
      </c>
      <c r="C107" s="4">
        <v>45383</v>
      </c>
      <c r="D107" s="5" t="s">
        <v>9</v>
      </c>
      <c r="E107" s="6">
        <v>1059</v>
      </c>
      <c r="F107" s="6">
        <v>138220.58545797921</v>
      </c>
      <c r="G107" s="6">
        <v>146375600</v>
      </c>
      <c r="H107" s="6">
        <v>46384600</v>
      </c>
      <c r="I107" s="6">
        <f t="shared" si="1"/>
        <v>61</v>
      </c>
      <c r="J107" t="str" cm="1">
        <f t="array" ref="J107">_xlfn.IFS(
AND(I107&gt;=89,I107&lt;=92),"D-90",
AND(I107&gt;=58,I107&lt;=62),"D-60",
AND(I107&gt;=28,I107&lt;=32),"D-30",
AND(I107=0),"당월",
TRUE,"그외")</f>
        <v>D-60</v>
      </c>
    </row>
    <row r="108" spans="1:10" ht="17.649999999999999" customHeight="1" x14ac:dyDescent="0.3">
      <c r="A108" s="4">
        <v>45444</v>
      </c>
      <c r="B108" s="5" t="s">
        <v>8</v>
      </c>
      <c r="C108" s="4">
        <v>45383</v>
      </c>
      <c r="D108" s="5" t="s">
        <v>10</v>
      </c>
      <c r="E108" s="6">
        <v>1306</v>
      </c>
      <c r="F108" s="6">
        <v>176167.39509954059</v>
      </c>
      <c r="G108" s="6">
        <v>230074618</v>
      </c>
      <c r="H108" s="6">
        <v>55525721</v>
      </c>
      <c r="I108" s="6">
        <f t="shared" si="1"/>
        <v>61</v>
      </c>
      <c r="J108" t="str" cm="1">
        <f t="array" ref="J108">_xlfn.IFS(
AND(I108&gt;=89,I108&lt;=92),"D-90",
AND(I108&gt;=58,I108&lt;=62),"D-60",
AND(I108&gt;=28,I108&lt;=32),"D-30",
AND(I108=0),"당월",
TRUE,"그외")</f>
        <v>D-60</v>
      </c>
    </row>
    <row r="109" spans="1:10" ht="17.649999999999999" customHeight="1" x14ac:dyDescent="0.3">
      <c r="A109" s="4">
        <v>45444</v>
      </c>
      <c r="B109" s="5" t="s">
        <v>8</v>
      </c>
      <c r="C109" s="4">
        <v>45413</v>
      </c>
      <c r="D109" s="5" t="s">
        <v>9</v>
      </c>
      <c r="E109" s="6">
        <v>2838</v>
      </c>
      <c r="F109" s="6">
        <v>138189.92248062021</v>
      </c>
      <c r="G109" s="6">
        <v>392183000</v>
      </c>
      <c r="H109" s="6">
        <v>126290000</v>
      </c>
      <c r="I109" s="6">
        <f t="shared" si="1"/>
        <v>31</v>
      </c>
      <c r="J109" t="str" cm="1">
        <f t="array" ref="J109">_xlfn.IFS(
AND(I109&gt;=89,I109&lt;=92),"D-90",
AND(I109&gt;=58,I109&lt;=62),"D-60",
AND(I109&gt;=28,I109&lt;=32),"D-30",
AND(I109=0),"당월",
TRUE,"그외")</f>
        <v>D-30</v>
      </c>
    </row>
    <row r="110" spans="1:10" ht="17.649999999999999" customHeight="1" x14ac:dyDescent="0.3">
      <c r="A110" s="4">
        <v>45444</v>
      </c>
      <c r="B110" s="5" t="s">
        <v>8</v>
      </c>
      <c r="C110" s="4">
        <v>45413</v>
      </c>
      <c r="D110" s="5" t="s">
        <v>10</v>
      </c>
      <c r="E110" s="6">
        <v>2255</v>
      </c>
      <c r="F110" s="6">
        <v>154949.91751662971</v>
      </c>
      <c r="G110" s="6">
        <v>349412064</v>
      </c>
      <c r="H110" s="6">
        <v>98357188</v>
      </c>
      <c r="I110" s="6">
        <f t="shared" si="1"/>
        <v>31</v>
      </c>
      <c r="J110" t="str" cm="1">
        <f t="array" ref="J110">_xlfn.IFS(
AND(I110&gt;=89,I110&lt;=92),"D-90",
AND(I110&gt;=58,I110&lt;=62),"D-60",
AND(I110&gt;=28,I110&lt;=32),"D-30",
AND(I110=0),"당월",
TRUE,"그외")</f>
        <v>D-30</v>
      </c>
    </row>
    <row r="111" spans="1:10" ht="17.649999999999999" customHeight="1" x14ac:dyDescent="0.3">
      <c r="A111" s="4">
        <v>45444</v>
      </c>
      <c r="B111" s="5" t="s">
        <v>8</v>
      </c>
      <c r="C111" s="4">
        <v>45444</v>
      </c>
      <c r="D111" s="5" t="s">
        <v>9</v>
      </c>
      <c r="E111" s="6">
        <v>1067</v>
      </c>
      <c r="F111" s="6">
        <v>116264.3861293346</v>
      </c>
      <c r="G111" s="6">
        <v>124054100</v>
      </c>
      <c r="H111" s="6">
        <v>42545100</v>
      </c>
      <c r="I111" s="6">
        <f t="shared" si="1"/>
        <v>0</v>
      </c>
      <c r="J111" t="str" cm="1">
        <f t="array" ref="J111">_xlfn.IFS(
AND(I111&gt;=89,I111&lt;=92),"D-90",
AND(I111&gt;=58,I111&lt;=62),"D-60",
AND(I111&gt;=28,I111&lt;=32),"D-30",
AND(I111=0),"당월",
TRUE,"그외")</f>
        <v>당월</v>
      </c>
    </row>
    <row r="112" spans="1:10" ht="17.649999999999999" customHeight="1" x14ac:dyDescent="0.3">
      <c r="A112" s="4">
        <v>45444</v>
      </c>
      <c r="B112" s="5" t="s">
        <v>8</v>
      </c>
      <c r="C112" s="4">
        <v>45444</v>
      </c>
      <c r="D112" s="5" t="s">
        <v>10</v>
      </c>
      <c r="E112" s="6">
        <v>1233</v>
      </c>
      <c r="F112" s="6">
        <v>148042.12003244119</v>
      </c>
      <c r="G112" s="6">
        <v>182535934</v>
      </c>
      <c r="H112" s="6">
        <v>48040846</v>
      </c>
      <c r="I112" s="6">
        <f t="shared" si="1"/>
        <v>0</v>
      </c>
      <c r="J112" t="str" cm="1">
        <f t="array" ref="J112">_xlfn.IFS(
AND(I112&gt;=89,I112&lt;=92),"D-90",
AND(I112&gt;=58,I112&lt;=62),"D-60",
AND(I112&gt;=28,I112&lt;=32),"D-30",
AND(I112=0),"당월",
TRUE,"그외")</f>
        <v>당월</v>
      </c>
    </row>
    <row r="113" spans="1:10" ht="17.649999999999999" customHeight="1" x14ac:dyDescent="0.3">
      <c r="A113" s="4">
        <v>45444</v>
      </c>
      <c r="B113" s="5" t="s">
        <v>11</v>
      </c>
      <c r="C113" s="4">
        <v>45323</v>
      </c>
      <c r="D113" s="5" t="s">
        <v>9</v>
      </c>
      <c r="E113" s="6">
        <v>22</v>
      </c>
      <c r="F113" s="6">
        <v>173000</v>
      </c>
      <c r="G113" s="6">
        <v>3806000</v>
      </c>
      <c r="H113" s="6">
        <v>946000</v>
      </c>
      <c r="I113" s="6">
        <f t="shared" si="1"/>
        <v>121</v>
      </c>
      <c r="J113" t="str" cm="1">
        <f t="array" ref="J113">_xlfn.IFS(
AND(I113&gt;=89,I113&lt;=92),"D-90",
AND(I113&gt;=58,I113&lt;=62),"D-60",
AND(I113&gt;=28,I113&lt;=32),"D-30",
AND(I113=0),"당월",
TRUE,"그외")</f>
        <v>그외</v>
      </c>
    </row>
    <row r="114" spans="1:10" ht="17.649999999999999" customHeight="1" x14ac:dyDescent="0.3">
      <c r="A114" s="4">
        <v>45444</v>
      </c>
      <c r="B114" s="5" t="s">
        <v>11</v>
      </c>
      <c r="C114" s="4">
        <v>45323</v>
      </c>
      <c r="D114" s="5" t="s">
        <v>10</v>
      </c>
      <c r="E114" s="6">
        <v>138</v>
      </c>
      <c r="F114" s="6">
        <v>207141.27536231879</v>
      </c>
      <c r="G114" s="6">
        <v>28585496</v>
      </c>
      <c r="H114" s="6">
        <v>5927980</v>
      </c>
      <c r="I114" s="6">
        <f t="shared" si="1"/>
        <v>121</v>
      </c>
      <c r="J114" t="str" cm="1">
        <f t="array" ref="J114">_xlfn.IFS(
AND(I114&gt;=89,I114&lt;=92),"D-90",
AND(I114&gt;=58,I114&lt;=62),"D-60",
AND(I114&gt;=28,I114&lt;=32),"D-30",
AND(I114=0),"당월",
TRUE,"그외")</f>
        <v>그외</v>
      </c>
    </row>
    <row r="115" spans="1:10" ht="17.649999999999999" customHeight="1" x14ac:dyDescent="0.3">
      <c r="A115" s="4">
        <v>45444</v>
      </c>
      <c r="B115" s="5" t="s">
        <v>11</v>
      </c>
      <c r="C115" s="4">
        <v>45352</v>
      </c>
      <c r="D115" s="5" t="s">
        <v>9</v>
      </c>
      <c r="E115" s="6">
        <v>34</v>
      </c>
      <c r="F115" s="6">
        <v>169882.3529411765</v>
      </c>
      <c r="G115" s="6">
        <v>5776000</v>
      </c>
      <c r="H115" s="6">
        <v>1496000</v>
      </c>
      <c r="I115" s="6">
        <f t="shared" si="1"/>
        <v>92</v>
      </c>
      <c r="J115" t="str" cm="1">
        <f t="array" ref="J115">_xlfn.IFS(
AND(I115&gt;=89,I115&lt;=92),"D-90",
AND(I115&gt;=58,I115&lt;=62),"D-60",
AND(I115&gt;=28,I115&lt;=32),"D-30",
AND(I115=0),"당월",
TRUE,"그외")</f>
        <v>D-90</v>
      </c>
    </row>
    <row r="116" spans="1:10" ht="17.649999999999999" customHeight="1" x14ac:dyDescent="0.3">
      <c r="A116" s="4">
        <v>45444</v>
      </c>
      <c r="B116" s="5" t="s">
        <v>11</v>
      </c>
      <c r="C116" s="4">
        <v>45352</v>
      </c>
      <c r="D116" s="5" t="s">
        <v>10</v>
      </c>
      <c r="E116" s="6">
        <v>407</v>
      </c>
      <c r="F116" s="6">
        <v>220197.5405405405</v>
      </c>
      <c r="G116" s="6">
        <v>89620399</v>
      </c>
      <c r="H116" s="6">
        <v>17857796</v>
      </c>
      <c r="I116" s="6">
        <f t="shared" si="1"/>
        <v>92</v>
      </c>
      <c r="J116" t="str" cm="1">
        <f t="array" ref="J116">_xlfn.IFS(
AND(I116&gt;=89,I116&lt;=92),"D-90",
AND(I116&gt;=58,I116&lt;=62),"D-60",
AND(I116&gt;=28,I116&lt;=32),"D-30",
AND(I116=0),"당월",
TRUE,"그외")</f>
        <v>D-90</v>
      </c>
    </row>
    <row r="117" spans="1:10" ht="17.649999999999999" customHeight="1" x14ac:dyDescent="0.3">
      <c r="A117" s="4">
        <v>45444</v>
      </c>
      <c r="B117" s="5" t="s">
        <v>11</v>
      </c>
      <c r="C117" s="4">
        <v>45383</v>
      </c>
      <c r="D117" s="5" t="s">
        <v>9</v>
      </c>
      <c r="E117" s="6">
        <v>341</v>
      </c>
      <c r="F117" s="6">
        <v>175929.03225806449</v>
      </c>
      <c r="G117" s="6">
        <v>59991800</v>
      </c>
      <c r="H117" s="6">
        <v>14935800</v>
      </c>
      <c r="I117" s="6">
        <f t="shared" si="1"/>
        <v>61</v>
      </c>
      <c r="J117" t="str" cm="1">
        <f t="array" ref="J117">_xlfn.IFS(
AND(I117&gt;=89,I117&lt;=92),"D-90",
AND(I117&gt;=58,I117&lt;=62),"D-60",
AND(I117&gt;=28,I117&lt;=32),"D-30",
AND(I117=0),"당월",
TRUE,"그외")</f>
        <v>D-60</v>
      </c>
    </row>
    <row r="118" spans="1:10" ht="17.649999999999999" customHeight="1" x14ac:dyDescent="0.3">
      <c r="A118" s="4">
        <v>45444</v>
      </c>
      <c r="B118" s="5" t="s">
        <v>11</v>
      </c>
      <c r="C118" s="4">
        <v>45383</v>
      </c>
      <c r="D118" s="5" t="s">
        <v>10</v>
      </c>
      <c r="E118" s="6">
        <v>1845</v>
      </c>
      <c r="F118" s="6">
        <v>158589.56910569099</v>
      </c>
      <c r="G118" s="6">
        <v>292597755</v>
      </c>
      <c r="H118" s="6">
        <v>80739846</v>
      </c>
      <c r="I118" s="6">
        <f t="shared" si="1"/>
        <v>61</v>
      </c>
      <c r="J118" t="str" cm="1">
        <f t="array" ref="J118">_xlfn.IFS(
AND(I118&gt;=89,I118&lt;=92),"D-90",
AND(I118&gt;=58,I118&lt;=62),"D-60",
AND(I118&gt;=28,I118&lt;=32),"D-30",
AND(I118=0),"당월",
TRUE,"그외")</f>
        <v>D-60</v>
      </c>
    </row>
    <row r="119" spans="1:10" ht="17.649999999999999" customHeight="1" x14ac:dyDescent="0.3">
      <c r="A119" s="4">
        <v>45444</v>
      </c>
      <c r="B119" s="5" t="s">
        <v>11</v>
      </c>
      <c r="C119" s="4">
        <v>45413</v>
      </c>
      <c r="D119" s="5" t="s">
        <v>9</v>
      </c>
      <c r="E119" s="6">
        <v>1622</v>
      </c>
      <c r="F119" s="6">
        <v>169766.95437731201</v>
      </c>
      <c r="G119" s="6">
        <v>275362000</v>
      </c>
      <c r="H119" s="6">
        <v>72179000</v>
      </c>
      <c r="I119" s="6">
        <f t="shared" si="1"/>
        <v>31</v>
      </c>
      <c r="J119" t="str" cm="1">
        <f t="array" ref="J119">_xlfn.IFS(
AND(I119&gt;=89,I119&lt;=92),"D-90",
AND(I119&gt;=58,I119&lt;=62),"D-60",
AND(I119&gt;=28,I119&lt;=32),"D-30",
AND(I119=0),"당월",
TRUE,"그외")</f>
        <v>D-30</v>
      </c>
    </row>
    <row r="120" spans="1:10" ht="17.649999999999999" customHeight="1" x14ac:dyDescent="0.3">
      <c r="A120" s="4">
        <v>45444</v>
      </c>
      <c r="B120" s="5" t="s">
        <v>11</v>
      </c>
      <c r="C120" s="4">
        <v>45413</v>
      </c>
      <c r="D120" s="5" t="s">
        <v>10</v>
      </c>
      <c r="E120" s="6">
        <v>3232</v>
      </c>
      <c r="F120" s="6">
        <v>146124.87097772281</v>
      </c>
      <c r="G120" s="6">
        <v>472275583</v>
      </c>
      <c r="H120" s="6">
        <v>142520611</v>
      </c>
      <c r="I120" s="6">
        <f t="shared" si="1"/>
        <v>31</v>
      </c>
      <c r="J120" t="str" cm="1">
        <f t="array" ref="J120">_xlfn.IFS(
AND(I120&gt;=89,I120&lt;=92),"D-90",
AND(I120&gt;=58,I120&lt;=62),"D-60",
AND(I120&gt;=28,I120&lt;=32),"D-30",
AND(I120=0),"당월",
TRUE,"그외")</f>
        <v>D-30</v>
      </c>
    </row>
    <row r="121" spans="1:10" ht="17.649999999999999" customHeight="1" x14ac:dyDescent="0.3">
      <c r="A121" s="4">
        <v>45444</v>
      </c>
      <c r="B121" s="5" t="s">
        <v>11</v>
      </c>
      <c r="C121" s="4">
        <v>45444</v>
      </c>
      <c r="D121" s="5" t="s">
        <v>9</v>
      </c>
      <c r="E121" s="6">
        <v>500</v>
      </c>
      <c r="F121" s="6">
        <v>137362</v>
      </c>
      <c r="G121" s="6">
        <v>68681000</v>
      </c>
      <c r="H121" s="6">
        <v>19955000</v>
      </c>
      <c r="I121" s="6">
        <f t="shared" si="1"/>
        <v>0</v>
      </c>
      <c r="J121" t="str" cm="1">
        <f t="array" ref="J121">_xlfn.IFS(
AND(I121&gt;=89,I121&lt;=92),"D-90",
AND(I121&gt;=58,I121&lt;=62),"D-60",
AND(I121&gt;=28,I121&lt;=32),"D-30",
AND(I121=0),"당월",
TRUE,"그외")</f>
        <v>당월</v>
      </c>
    </row>
    <row r="122" spans="1:10" ht="17.649999999999999" customHeight="1" x14ac:dyDescent="0.3">
      <c r="A122" s="4">
        <v>45444</v>
      </c>
      <c r="B122" s="5" t="s">
        <v>11</v>
      </c>
      <c r="C122" s="4">
        <v>45444</v>
      </c>
      <c r="D122" s="5" t="s">
        <v>10</v>
      </c>
      <c r="E122" s="6">
        <v>1230</v>
      </c>
      <c r="F122" s="6">
        <v>156614.91869918699</v>
      </c>
      <c r="G122" s="6">
        <v>192636350</v>
      </c>
      <c r="H122" s="6">
        <v>49044251</v>
      </c>
      <c r="I122" s="6">
        <f t="shared" si="1"/>
        <v>0</v>
      </c>
      <c r="J122" t="str" cm="1">
        <f t="array" ref="J122">_xlfn.IFS(
AND(I122&gt;=89,I122&lt;=92),"D-90",
AND(I122&gt;=58,I122&lt;=62),"D-60",
AND(I122&gt;=28,I122&lt;=32),"D-30",
AND(I122=0),"당월",
TRUE,"그외")</f>
        <v>당월</v>
      </c>
    </row>
    <row r="123" spans="1:10" ht="17.649999999999999" customHeight="1" x14ac:dyDescent="0.3">
      <c r="A123" s="4">
        <v>45444</v>
      </c>
      <c r="B123" s="5" t="s">
        <v>12</v>
      </c>
      <c r="C123" s="4">
        <v>45383</v>
      </c>
      <c r="D123" s="5" t="s">
        <v>9</v>
      </c>
      <c r="E123" s="6">
        <v>653</v>
      </c>
      <c r="F123" s="6">
        <v>163447.77947932619</v>
      </c>
      <c r="G123" s="6">
        <v>106731400</v>
      </c>
      <c r="H123" s="6">
        <v>28601400</v>
      </c>
      <c r="I123" s="6">
        <f t="shared" si="1"/>
        <v>61</v>
      </c>
      <c r="J123" t="str" cm="1">
        <f t="array" ref="J123">_xlfn.IFS(
AND(I123&gt;=89,I123&lt;=92),"D-90",
AND(I123&gt;=58,I123&lt;=62),"D-60",
AND(I123&gt;=28,I123&lt;=32),"D-30",
AND(I123=0),"당월",
TRUE,"그외")</f>
        <v>D-60</v>
      </c>
    </row>
    <row r="124" spans="1:10" ht="17.649999999999999" customHeight="1" x14ac:dyDescent="0.3">
      <c r="A124" s="4">
        <v>45444</v>
      </c>
      <c r="B124" s="5" t="s">
        <v>12</v>
      </c>
      <c r="C124" s="4">
        <v>45383</v>
      </c>
      <c r="D124" s="5" t="s">
        <v>10</v>
      </c>
      <c r="E124" s="6">
        <v>127</v>
      </c>
      <c r="F124" s="6">
        <v>168909.87401574801</v>
      </c>
      <c r="G124" s="6">
        <v>21451554</v>
      </c>
      <c r="H124" s="6">
        <v>5553198</v>
      </c>
      <c r="I124" s="6">
        <f t="shared" si="1"/>
        <v>61</v>
      </c>
      <c r="J124" t="str" cm="1">
        <f t="array" ref="J124">_xlfn.IFS(
AND(I124&gt;=89,I124&lt;=92),"D-90",
AND(I124&gt;=58,I124&lt;=62),"D-60",
AND(I124&gt;=28,I124&lt;=32),"D-30",
AND(I124=0),"당월",
TRUE,"그외")</f>
        <v>D-60</v>
      </c>
    </row>
    <row r="125" spans="1:10" ht="17.649999999999999" customHeight="1" x14ac:dyDescent="0.3">
      <c r="A125" s="4">
        <v>45444</v>
      </c>
      <c r="B125" s="5" t="s">
        <v>12</v>
      </c>
      <c r="C125" s="4">
        <v>45413</v>
      </c>
      <c r="D125" s="5" t="s">
        <v>9</v>
      </c>
      <c r="E125" s="6">
        <v>602</v>
      </c>
      <c r="F125" s="6">
        <v>173685.21594684379</v>
      </c>
      <c r="G125" s="6">
        <v>104558500</v>
      </c>
      <c r="H125" s="6">
        <v>26785500</v>
      </c>
      <c r="I125" s="6">
        <f t="shared" si="1"/>
        <v>31</v>
      </c>
      <c r="J125" t="str" cm="1">
        <f t="array" ref="J125">_xlfn.IFS(
AND(I125&gt;=89,I125&lt;=92),"D-90",
AND(I125&gt;=58,I125&lt;=62),"D-60",
AND(I125&gt;=28,I125&lt;=32),"D-30",
AND(I125=0),"당월",
TRUE,"그외")</f>
        <v>D-30</v>
      </c>
    </row>
    <row r="126" spans="1:10" ht="17.649999999999999" customHeight="1" x14ac:dyDescent="0.3">
      <c r="A126" s="4">
        <v>45444</v>
      </c>
      <c r="B126" s="5" t="s">
        <v>12</v>
      </c>
      <c r="C126" s="4">
        <v>45413</v>
      </c>
      <c r="D126" s="5" t="s">
        <v>10</v>
      </c>
      <c r="E126" s="6">
        <v>343</v>
      </c>
      <c r="F126" s="6">
        <v>162173.3586005831</v>
      </c>
      <c r="G126" s="6">
        <v>55625462</v>
      </c>
      <c r="H126" s="6">
        <v>13997441</v>
      </c>
      <c r="I126" s="6">
        <f t="shared" si="1"/>
        <v>31</v>
      </c>
      <c r="J126" t="str" cm="1">
        <f t="array" ref="J126">_xlfn.IFS(
AND(I126&gt;=89,I126&lt;=92),"D-90",
AND(I126&gt;=58,I126&lt;=62),"D-60",
AND(I126&gt;=28,I126&lt;=32),"D-30",
AND(I126=0),"당월",
TRUE,"그외")</f>
        <v>D-30</v>
      </c>
    </row>
    <row r="127" spans="1:10" ht="17.649999999999999" customHeight="1" x14ac:dyDescent="0.3">
      <c r="A127" s="4">
        <v>45444</v>
      </c>
      <c r="B127" s="5" t="s">
        <v>12</v>
      </c>
      <c r="C127" s="4">
        <v>45444</v>
      </c>
      <c r="D127" s="5" t="s">
        <v>9</v>
      </c>
      <c r="E127" s="6">
        <v>132</v>
      </c>
      <c r="F127" s="6">
        <v>193468.18181818179</v>
      </c>
      <c r="G127" s="6">
        <v>25537800</v>
      </c>
      <c r="H127" s="6">
        <v>5345800</v>
      </c>
      <c r="I127" s="6">
        <f t="shared" si="1"/>
        <v>0</v>
      </c>
      <c r="J127" t="str" cm="1">
        <f t="array" ref="J127">_xlfn.IFS(
AND(I127&gt;=89,I127&lt;=92),"D-90",
AND(I127&gt;=58,I127&lt;=62),"D-60",
AND(I127&gt;=28,I127&lt;=32),"D-30",
AND(I127=0),"당월",
TRUE,"그외")</f>
        <v>당월</v>
      </c>
    </row>
    <row r="128" spans="1:10" ht="17.649999999999999" customHeight="1" x14ac:dyDescent="0.3">
      <c r="A128" s="4">
        <v>45444</v>
      </c>
      <c r="B128" s="5" t="s">
        <v>12</v>
      </c>
      <c r="C128" s="4">
        <v>45444</v>
      </c>
      <c r="D128" s="5" t="s">
        <v>10</v>
      </c>
      <c r="E128" s="6">
        <v>224</v>
      </c>
      <c r="F128" s="6">
        <v>145935.125</v>
      </c>
      <c r="G128" s="6">
        <v>32689468</v>
      </c>
      <c r="H128" s="6">
        <v>9074092</v>
      </c>
      <c r="I128" s="6">
        <f t="shared" si="1"/>
        <v>0</v>
      </c>
      <c r="J128" t="str" cm="1">
        <f t="array" ref="J128">_xlfn.IFS(
AND(I128&gt;=89,I128&lt;=92),"D-90",
AND(I128&gt;=58,I128&lt;=62),"D-60",
AND(I128&gt;=28,I128&lt;=32),"D-30",
AND(I128=0),"당월",
TRUE,"그외")</f>
        <v>당월</v>
      </c>
    </row>
    <row r="129" spans="1:10" ht="17.649999999999999" customHeight="1" x14ac:dyDescent="0.3">
      <c r="A129" s="4">
        <v>45444</v>
      </c>
      <c r="B129" s="5" t="s">
        <v>13</v>
      </c>
      <c r="C129" s="4">
        <v>45352</v>
      </c>
      <c r="D129" s="5" t="s">
        <v>9</v>
      </c>
      <c r="E129" s="6">
        <v>394</v>
      </c>
      <c r="F129" s="6">
        <v>193670.0507614213</v>
      </c>
      <c r="G129" s="6">
        <v>76306000</v>
      </c>
      <c r="H129" s="6">
        <v>17336000</v>
      </c>
      <c r="I129" s="6">
        <f t="shared" si="1"/>
        <v>92</v>
      </c>
      <c r="J129" t="str" cm="1">
        <f t="array" ref="J129">_xlfn.IFS(
AND(I129&gt;=89,I129&lt;=92),"D-90",
AND(I129&gt;=58,I129&lt;=62),"D-60",
AND(I129&gt;=28,I129&lt;=32),"D-30",
AND(I129=0),"당월",
TRUE,"그외")</f>
        <v>D-90</v>
      </c>
    </row>
    <row r="130" spans="1:10" ht="17.649999999999999" customHeight="1" x14ac:dyDescent="0.3">
      <c r="A130" s="4">
        <v>45444</v>
      </c>
      <c r="B130" s="5" t="s">
        <v>13</v>
      </c>
      <c r="C130" s="4">
        <v>45352</v>
      </c>
      <c r="D130" s="5" t="s">
        <v>10</v>
      </c>
      <c r="E130" s="6">
        <v>710</v>
      </c>
      <c r="F130" s="6">
        <v>217645.13098591549</v>
      </c>
      <c r="G130" s="6">
        <v>154528043</v>
      </c>
      <c r="H130" s="6">
        <v>31116573</v>
      </c>
      <c r="I130" s="6">
        <f t="shared" si="1"/>
        <v>92</v>
      </c>
      <c r="J130" t="str" cm="1">
        <f t="array" ref="J130">_xlfn.IFS(
AND(I130&gt;=89,I130&lt;=92),"D-90",
AND(I130&gt;=58,I130&lt;=62),"D-60",
AND(I130&gt;=28,I130&lt;=32),"D-30",
AND(I130=0),"당월",
TRUE,"그외")</f>
        <v>D-90</v>
      </c>
    </row>
    <row r="131" spans="1:10" ht="17.649999999999999" customHeight="1" x14ac:dyDescent="0.3">
      <c r="A131" s="4">
        <v>45444</v>
      </c>
      <c r="B131" s="5" t="s">
        <v>13</v>
      </c>
      <c r="C131" s="4">
        <v>45383</v>
      </c>
      <c r="D131" s="5" t="s">
        <v>9</v>
      </c>
      <c r="E131" s="6">
        <v>753</v>
      </c>
      <c r="F131" s="6">
        <v>179714.4754316069</v>
      </c>
      <c r="G131" s="6">
        <v>135325000</v>
      </c>
      <c r="H131" s="6">
        <v>32983000</v>
      </c>
      <c r="I131" s="6">
        <f t="shared" ref="I131:I194" si="2">A131-C131</f>
        <v>61</v>
      </c>
      <c r="J131" t="str" cm="1">
        <f t="array" ref="J131">_xlfn.IFS(
AND(I131&gt;=89,I131&lt;=92),"D-90",
AND(I131&gt;=58,I131&lt;=62),"D-60",
AND(I131&gt;=28,I131&lt;=32),"D-30",
AND(I131=0),"당월",
TRUE,"그외")</f>
        <v>D-60</v>
      </c>
    </row>
    <row r="132" spans="1:10" ht="17.649999999999999" customHeight="1" x14ac:dyDescent="0.3">
      <c r="A132" s="4">
        <v>45444</v>
      </c>
      <c r="B132" s="5" t="s">
        <v>13</v>
      </c>
      <c r="C132" s="4">
        <v>45383</v>
      </c>
      <c r="D132" s="5" t="s">
        <v>10</v>
      </c>
      <c r="E132" s="6">
        <v>1717</v>
      </c>
      <c r="F132" s="6">
        <v>185169.0244612697</v>
      </c>
      <c r="G132" s="6">
        <v>317935215</v>
      </c>
      <c r="H132" s="6">
        <v>74756360</v>
      </c>
      <c r="I132" s="6">
        <f t="shared" si="2"/>
        <v>61</v>
      </c>
      <c r="J132" t="str" cm="1">
        <f t="array" ref="J132">_xlfn.IFS(
AND(I132&gt;=89,I132&lt;=92),"D-90",
AND(I132&gt;=58,I132&lt;=62),"D-60",
AND(I132&gt;=28,I132&lt;=32),"D-30",
AND(I132=0),"당월",
TRUE,"그외")</f>
        <v>D-60</v>
      </c>
    </row>
    <row r="133" spans="1:10" ht="17.649999999999999" customHeight="1" x14ac:dyDescent="0.3">
      <c r="A133" s="4">
        <v>45444</v>
      </c>
      <c r="B133" s="5" t="s">
        <v>13</v>
      </c>
      <c r="C133" s="4">
        <v>45413</v>
      </c>
      <c r="D133" s="5" t="s">
        <v>9</v>
      </c>
      <c r="E133" s="6">
        <v>1188</v>
      </c>
      <c r="F133" s="6">
        <v>168165.48821548821</v>
      </c>
      <c r="G133" s="6">
        <v>199780600</v>
      </c>
      <c r="H133" s="6">
        <v>52857600</v>
      </c>
      <c r="I133" s="6">
        <f t="shared" si="2"/>
        <v>31</v>
      </c>
      <c r="J133" t="str" cm="1">
        <f t="array" ref="J133">_xlfn.IFS(
AND(I133&gt;=89,I133&lt;=92),"D-90",
AND(I133&gt;=58,I133&lt;=62),"D-60",
AND(I133&gt;=28,I133&lt;=32),"D-30",
AND(I133=0),"당월",
TRUE,"그외")</f>
        <v>D-30</v>
      </c>
    </row>
    <row r="134" spans="1:10" ht="17.649999999999999" customHeight="1" x14ac:dyDescent="0.3">
      <c r="A134" s="4">
        <v>45444</v>
      </c>
      <c r="B134" s="5" t="s">
        <v>13</v>
      </c>
      <c r="C134" s="4">
        <v>45413</v>
      </c>
      <c r="D134" s="5" t="s">
        <v>10</v>
      </c>
      <c r="E134" s="6">
        <v>3315</v>
      </c>
      <c r="F134" s="6">
        <v>145531.40633484159</v>
      </c>
      <c r="G134" s="6">
        <v>482436612</v>
      </c>
      <c r="H134" s="6">
        <v>146037371</v>
      </c>
      <c r="I134" s="6">
        <f t="shared" si="2"/>
        <v>31</v>
      </c>
      <c r="J134" t="str" cm="1">
        <f t="array" ref="J134">_xlfn.IFS(
AND(I134&gt;=89,I134&lt;=92),"D-90",
AND(I134&gt;=58,I134&lt;=62),"D-60",
AND(I134&gt;=28,I134&lt;=32),"D-30",
AND(I134=0),"당월",
TRUE,"그외")</f>
        <v>D-30</v>
      </c>
    </row>
    <row r="135" spans="1:10" ht="17.649999999999999" customHeight="1" x14ac:dyDescent="0.3">
      <c r="A135" s="4">
        <v>45444</v>
      </c>
      <c r="B135" s="5" t="s">
        <v>13</v>
      </c>
      <c r="C135" s="4">
        <v>45444</v>
      </c>
      <c r="D135" s="5" t="s">
        <v>9</v>
      </c>
      <c r="E135" s="6">
        <v>572</v>
      </c>
      <c r="F135" s="6">
        <v>152875.87412587411</v>
      </c>
      <c r="G135" s="6">
        <v>87445000</v>
      </c>
      <c r="H135" s="6">
        <v>22799000</v>
      </c>
      <c r="I135" s="6">
        <f t="shared" si="2"/>
        <v>0</v>
      </c>
      <c r="J135" t="str" cm="1">
        <f t="array" ref="J135">_xlfn.IFS(
AND(I135&gt;=89,I135&lt;=92),"D-90",
AND(I135&gt;=58,I135&lt;=62),"D-60",
AND(I135&gt;=28,I135&lt;=32),"D-30",
AND(I135=0),"당월",
TRUE,"그외")</f>
        <v>당월</v>
      </c>
    </row>
    <row r="136" spans="1:10" ht="17.649999999999999" customHeight="1" x14ac:dyDescent="0.3">
      <c r="A136" s="4">
        <v>45444</v>
      </c>
      <c r="B136" s="5" t="s">
        <v>13</v>
      </c>
      <c r="C136" s="4">
        <v>45444</v>
      </c>
      <c r="D136" s="5" t="s">
        <v>10</v>
      </c>
      <c r="E136" s="6">
        <v>1438</v>
      </c>
      <c r="F136" s="6">
        <v>152177.83171070929</v>
      </c>
      <c r="G136" s="6">
        <v>218831722</v>
      </c>
      <c r="H136" s="6">
        <v>57678557</v>
      </c>
      <c r="I136" s="6">
        <f t="shared" si="2"/>
        <v>0</v>
      </c>
      <c r="J136" t="str" cm="1">
        <f t="array" ref="J136">_xlfn.IFS(
AND(I136&gt;=89,I136&lt;=92),"D-90",
AND(I136&gt;=58,I136&lt;=62),"D-60",
AND(I136&gt;=28,I136&lt;=32),"D-30",
AND(I136=0),"당월",
TRUE,"그외")</f>
        <v>당월</v>
      </c>
    </row>
    <row r="137" spans="1:10" ht="17.649999999999999" customHeight="1" x14ac:dyDescent="0.3">
      <c r="A137" s="4">
        <v>45474</v>
      </c>
      <c r="B137" s="5" t="s">
        <v>8</v>
      </c>
      <c r="C137" s="4">
        <v>45352</v>
      </c>
      <c r="D137" s="5" t="s">
        <v>10</v>
      </c>
      <c r="E137" s="6">
        <v>17</v>
      </c>
      <c r="F137" s="6">
        <v>195966.4117647059</v>
      </c>
      <c r="G137" s="6">
        <v>3331429</v>
      </c>
      <c r="H137" s="6">
        <v>692996</v>
      </c>
      <c r="I137" s="6">
        <f t="shared" si="2"/>
        <v>122</v>
      </c>
      <c r="J137" t="str" cm="1">
        <f t="array" ref="J137">_xlfn.IFS(
AND(I137&gt;=89,I137&lt;=92),"D-90",
AND(I137&gt;=58,I137&lt;=62),"D-60",
AND(I137&gt;=28,I137&lt;=32),"D-30",
AND(I137=0),"당월",
TRUE,"그외")</f>
        <v>그외</v>
      </c>
    </row>
    <row r="138" spans="1:10" ht="17.649999999999999" customHeight="1" x14ac:dyDescent="0.3">
      <c r="A138" s="4">
        <v>45474</v>
      </c>
      <c r="B138" s="5" t="s">
        <v>8</v>
      </c>
      <c r="C138" s="4">
        <v>45383</v>
      </c>
      <c r="D138" s="5" t="s">
        <v>9</v>
      </c>
      <c r="E138" s="6">
        <v>344</v>
      </c>
      <c r="F138" s="6">
        <v>250663.3720930233</v>
      </c>
      <c r="G138" s="6">
        <v>86228200</v>
      </c>
      <c r="H138" s="6">
        <v>15067200</v>
      </c>
      <c r="I138" s="6">
        <f t="shared" si="2"/>
        <v>91</v>
      </c>
      <c r="J138" t="str" cm="1">
        <f t="array" ref="J138">_xlfn.IFS(
AND(I138&gt;=89,I138&lt;=92),"D-90",
AND(I138&gt;=58,I138&lt;=62),"D-60",
AND(I138&gt;=28,I138&lt;=32),"D-30",
AND(I138=0),"당월",
TRUE,"그외")</f>
        <v>D-90</v>
      </c>
    </row>
    <row r="139" spans="1:10" ht="17.649999999999999" customHeight="1" x14ac:dyDescent="0.3">
      <c r="A139" s="4">
        <v>45474</v>
      </c>
      <c r="B139" s="5" t="s">
        <v>8</v>
      </c>
      <c r="C139" s="4">
        <v>45383</v>
      </c>
      <c r="D139" s="5" t="s">
        <v>10</v>
      </c>
      <c r="E139" s="6">
        <v>1521</v>
      </c>
      <c r="F139" s="6">
        <v>196477.81919789611</v>
      </c>
      <c r="G139" s="6">
        <v>298842763</v>
      </c>
      <c r="H139" s="6">
        <v>65927951</v>
      </c>
      <c r="I139" s="6">
        <f t="shared" si="2"/>
        <v>91</v>
      </c>
      <c r="J139" t="str" cm="1">
        <f t="array" ref="J139">_xlfn.IFS(
AND(I139&gt;=89,I139&lt;=92),"D-90",
AND(I139&gt;=58,I139&lt;=62),"D-60",
AND(I139&gt;=28,I139&lt;=32),"D-30",
AND(I139=0),"당월",
TRUE,"그외")</f>
        <v>D-90</v>
      </c>
    </row>
    <row r="140" spans="1:10" ht="17.649999999999999" customHeight="1" x14ac:dyDescent="0.3">
      <c r="A140" s="4">
        <v>45474</v>
      </c>
      <c r="B140" s="5" t="s">
        <v>8</v>
      </c>
      <c r="C140" s="4">
        <v>45413</v>
      </c>
      <c r="D140" s="5" t="s">
        <v>9</v>
      </c>
      <c r="E140" s="6">
        <v>951</v>
      </c>
      <c r="F140" s="6">
        <v>179288.64353312299</v>
      </c>
      <c r="G140" s="6">
        <v>170503500</v>
      </c>
      <c r="H140" s="6">
        <v>42319500</v>
      </c>
      <c r="I140" s="6">
        <f t="shared" si="2"/>
        <v>61</v>
      </c>
      <c r="J140" t="str" cm="1">
        <f t="array" ref="J140">_xlfn.IFS(
AND(I140&gt;=89,I140&lt;=92),"D-90",
AND(I140&gt;=58,I140&lt;=62),"D-60",
AND(I140&gt;=28,I140&lt;=32),"D-30",
AND(I140=0),"당월",
TRUE,"그외")</f>
        <v>D-60</v>
      </c>
    </row>
    <row r="141" spans="1:10" ht="17.649999999999999" customHeight="1" x14ac:dyDescent="0.3">
      <c r="A141" s="4">
        <v>45474</v>
      </c>
      <c r="B141" s="5" t="s">
        <v>8</v>
      </c>
      <c r="C141" s="4">
        <v>45413</v>
      </c>
      <c r="D141" s="5" t="s">
        <v>10</v>
      </c>
      <c r="E141" s="6">
        <v>1531</v>
      </c>
      <c r="F141" s="6">
        <v>196675.09862834751</v>
      </c>
      <c r="G141" s="6">
        <v>301109576</v>
      </c>
      <c r="H141" s="6">
        <v>66113880</v>
      </c>
      <c r="I141" s="6">
        <f t="shared" si="2"/>
        <v>61</v>
      </c>
      <c r="J141" t="str" cm="1">
        <f t="array" ref="J141">_xlfn.IFS(
AND(I141&gt;=89,I141&lt;=92),"D-90",
AND(I141&gt;=58,I141&lt;=62),"D-60",
AND(I141&gt;=28,I141&lt;=32),"D-30",
AND(I141=0),"당월",
TRUE,"그외")</f>
        <v>D-60</v>
      </c>
    </row>
    <row r="142" spans="1:10" ht="17.649999999999999" customHeight="1" x14ac:dyDescent="0.3">
      <c r="A142" s="4">
        <v>45474</v>
      </c>
      <c r="B142" s="5" t="s">
        <v>8</v>
      </c>
      <c r="C142" s="4">
        <v>45444</v>
      </c>
      <c r="D142" s="5" t="s">
        <v>9</v>
      </c>
      <c r="E142" s="6">
        <v>2659</v>
      </c>
      <c r="F142" s="6">
        <v>131077.88642346751</v>
      </c>
      <c r="G142" s="6">
        <v>348536100</v>
      </c>
      <c r="H142" s="6">
        <v>105861100</v>
      </c>
      <c r="I142" s="6">
        <f t="shared" si="2"/>
        <v>30</v>
      </c>
      <c r="J142" t="str" cm="1">
        <f t="array" ref="J142">_xlfn.IFS(
AND(I142&gt;=89,I142&lt;=92),"D-90",
AND(I142&gt;=58,I142&lt;=62),"D-60",
AND(I142&gt;=28,I142&lt;=32),"D-30",
AND(I142=0),"당월",
TRUE,"그외")</f>
        <v>D-30</v>
      </c>
    </row>
    <row r="143" spans="1:10" ht="17.649999999999999" customHeight="1" x14ac:dyDescent="0.3">
      <c r="A143" s="4">
        <v>45474</v>
      </c>
      <c r="B143" s="5" t="s">
        <v>8</v>
      </c>
      <c r="C143" s="4">
        <v>45444</v>
      </c>
      <c r="D143" s="5" t="s">
        <v>10</v>
      </c>
      <c r="E143" s="6">
        <v>2435</v>
      </c>
      <c r="F143" s="6">
        <v>197887.5605749487</v>
      </c>
      <c r="G143" s="6">
        <v>481856210</v>
      </c>
      <c r="H143" s="6">
        <v>95705120</v>
      </c>
      <c r="I143" s="6">
        <f t="shared" si="2"/>
        <v>30</v>
      </c>
      <c r="J143" t="str" cm="1">
        <f t="array" ref="J143">_xlfn.IFS(
AND(I143&gt;=89,I143&lt;=92),"D-90",
AND(I143&gt;=58,I143&lt;=62),"D-60",
AND(I143&gt;=28,I143&lt;=32),"D-30",
AND(I143=0),"당월",
TRUE,"그외")</f>
        <v>D-30</v>
      </c>
    </row>
    <row r="144" spans="1:10" ht="17.649999999999999" customHeight="1" x14ac:dyDescent="0.3">
      <c r="A144" s="4">
        <v>45474</v>
      </c>
      <c r="B144" s="5" t="s">
        <v>8</v>
      </c>
      <c r="C144" s="4">
        <v>45474</v>
      </c>
      <c r="D144" s="5" t="s">
        <v>9</v>
      </c>
      <c r="E144" s="6">
        <v>411</v>
      </c>
      <c r="F144" s="6">
        <v>222072.9927007299</v>
      </c>
      <c r="G144" s="6">
        <v>91272000</v>
      </c>
      <c r="H144" s="6">
        <v>14796000</v>
      </c>
      <c r="I144" s="6">
        <f t="shared" si="2"/>
        <v>0</v>
      </c>
      <c r="J144" t="str" cm="1">
        <f t="array" ref="J144">_xlfn.IFS(
AND(I144&gt;=89,I144&lt;=92),"D-90",
AND(I144&gt;=58,I144&lt;=62),"D-60",
AND(I144&gt;=28,I144&lt;=32),"D-30",
AND(I144=0),"당월",
TRUE,"그외")</f>
        <v>당월</v>
      </c>
    </row>
    <row r="145" spans="1:10" ht="17.649999999999999" customHeight="1" x14ac:dyDescent="0.3">
      <c r="A145" s="4">
        <v>45474</v>
      </c>
      <c r="B145" s="5" t="s">
        <v>8</v>
      </c>
      <c r="C145" s="4">
        <v>45474</v>
      </c>
      <c r="D145" s="5" t="s">
        <v>10</v>
      </c>
      <c r="E145" s="6">
        <v>1223</v>
      </c>
      <c r="F145" s="6">
        <v>259514.8340147179</v>
      </c>
      <c r="G145" s="6">
        <v>317386642</v>
      </c>
      <c r="H145" s="6">
        <v>43629216</v>
      </c>
      <c r="I145" s="6">
        <f t="shared" si="2"/>
        <v>0</v>
      </c>
      <c r="J145" t="str" cm="1">
        <f t="array" ref="J145">_xlfn.IFS(
AND(I145&gt;=89,I145&lt;=92),"D-90",
AND(I145&gt;=58,I145&lt;=62),"D-60",
AND(I145&gt;=28,I145&lt;=32),"D-30",
AND(I145=0),"당월",
TRUE,"그외")</f>
        <v>당월</v>
      </c>
    </row>
    <row r="146" spans="1:10" ht="17.649999999999999" customHeight="1" x14ac:dyDescent="0.3">
      <c r="A146" s="4">
        <v>45474</v>
      </c>
      <c r="B146" s="5" t="s">
        <v>11</v>
      </c>
      <c r="C146" s="4">
        <v>45352</v>
      </c>
      <c r="D146" s="5" t="s">
        <v>10</v>
      </c>
      <c r="E146" s="6">
        <v>19</v>
      </c>
      <c r="F146" s="6">
        <v>282415.78947368421</v>
      </c>
      <c r="G146" s="6">
        <v>5365900</v>
      </c>
      <c r="H146" s="6">
        <v>836000</v>
      </c>
      <c r="I146" s="6">
        <f t="shared" si="2"/>
        <v>122</v>
      </c>
      <c r="J146" t="str" cm="1">
        <f t="array" ref="J146">_xlfn.IFS(
AND(I146&gt;=89,I146&lt;=92),"D-90",
AND(I146&gt;=58,I146&lt;=62),"D-60",
AND(I146&gt;=28,I146&lt;=32),"D-30",
AND(I146=0),"당월",
TRUE,"그외")</f>
        <v>그외</v>
      </c>
    </row>
    <row r="147" spans="1:10" ht="17.649999999999999" customHeight="1" x14ac:dyDescent="0.3">
      <c r="A147" s="4">
        <v>45474</v>
      </c>
      <c r="B147" s="5" t="s">
        <v>11</v>
      </c>
      <c r="C147" s="4">
        <v>45383</v>
      </c>
      <c r="D147" s="5" t="s">
        <v>9</v>
      </c>
      <c r="E147" s="6">
        <v>52</v>
      </c>
      <c r="F147" s="6">
        <v>163415.3846153846</v>
      </c>
      <c r="G147" s="6">
        <v>8497600</v>
      </c>
      <c r="H147" s="6">
        <v>2277600</v>
      </c>
      <c r="I147" s="6">
        <f t="shared" si="2"/>
        <v>91</v>
      </c>
      <c r="J147" t="str" cm="1">
        <f t="array" ref="J147">_xlfn.IFS(
AND(I147&gt;=89,I147&lt;=92),"D-90",
AND(I147&gt;=58,I147&lt;=62),"D-60",
AND(I147&gt;=28,I147&lt;=32),"D-30",
AND(I147=0),"당월",
TRUE,"그외")</f>
        <v>D-90</v>
      </c>
    </row>
    <row r="148" spans="1:10" ht="17.649999999999999" customHeight="1" x14ac:dyDescent="0.3">
      <c r="A148" s="4">
        <v>45474</v>
      </c>
      <c r="B148" s="5" t="s">
        <v>11</v>
      </c>
      <c r="C148" s="4">
        <v>45383</v>
      </c>
      <c r="D148" s="5" t="s">
        <v>10</v>
      </c>
      <c r="E148" s="6">
        <v>876</v>
      </c>
      <c r="F148" s="6">
        <v>200952.08675799091</v>
      </c>
      <c r="G148" s="6">
        <v>176034028</v>
      </c>
      <c r="H148" s="6">
        <v>38343672</v>
      </c>
      <c r="I148" s="6">
        <f t="shared" si="2"/>
        <v>91</v>
      </c>
      <c r="J148" t="str" cm="1">
        <f t="array" ref="J148">_xlfn.IFS(
AND(I148&gt;=89,I148&lt;=92),"D-90",
AND(I148&gt;=58,I148&lt;=62),"D-60",
AND(I148&gt;=28,I148&lt;=32),"D-30",
AND(I148=0),"당월",
TRUE,"그외")</f>
        <v>D-90</v>
      </c>
    </row>
    <row r="149" spans="1:10" ht="17.649999999999999" customHeight="1" x14ac:dyDescent="0.3">
      <c r="A149" s="4">
        <v>45474</v>
      </c>
      <c r="B149" s="5" t="s">
        <v>11</v>
      </c>
      <c r="C149" s="4">
        <v>45413</v>
      </c>
      <c r="D149" s="5" t="s">
        <v>9</v>
      </c>
      <c r="E149" s="6">
        <v>310</v>
      </c>
      <c r="F149" s="6">
        <v>187541.935483871</v>
      </c>
      <c r="G149" s="6">
        <v>58138000</v>
      </c>
      <c r="H149" s="6">
        <v>13795000</v>
      </c>
      <c r="I149" s="6">
        <f t="shared" si="2"/>
        <v>61</v>
      </c>
      <c r="J149" t="str" cm="1">
        <f t="array" ref="J149">_xlfn.IFS(
AND(I149&gt;=89,I149&lt;=92),"D-90",
AND(I149&gt;=58,I149&lt;=62),"D-60",
AND(I149&gt;=28,I149&lt;=32),"D-30",
AND(I149=0),"당월",
TRUE,"그외")</f>
        <v>D-60</v>
      </c>
    </row>
    <row r="150" spans="1:10" ht="17.649999999999999" customHeight="1" x14ac:dyDescent="0.3">
      <c r="A150" s="4">
        <v>45474</v>
      </c>
      <c r="B150" s="5" t="s">
        <v>11</v>
      </c>
      <c r="C150" s="4">
        <v>45413</v>
      </c>
      <c r="D150" s="5" t="s">
        <v>10</v>
      </c>
      <c r="E150" s="6">
        <v>2974</v>
      </c>
      <c r="F150" s="6">
        <v>163609.5537995965</v>
      </c>
      <c r="G150" s="6">
        <v>486574813</v>
      </c>
      <c r="H150" s="6">
        <v>132236403</v>
      </c>
      <c r="I150" s="6">
        <f t="shared" si="2"/>
        <v>61</v>
      </c>
      <c r="J150" t="str" cm="1">
        <f t="array" ref="J150">_xlfn.IFS(
AND(I150&gt;=89,I150&lt;=92),"D-90",
AND(I150&gt;=58,I150&lt;=62),"D-60",
AND(I150&gt;=28,I150&lt;=32),"D-30",
AND(I150=0),"당월",
TRUE,"그외")</f>
        <v>D-60</v>
      </c>
    </row>
    <row r="151" spans="1:10" ht="17.649999999999999" customHeight="1" x14ac:dyDescent="0.3">
      <c r="A151" s="4">
        <v>45474</v>
      </c>
      <c r="B151" s="5" t="s">
        <v>11</v>
      </c>
      <c r="C151" s="4">
        <v>45444</v>
      </c>
      <c r="D151" s="5" t="s">
        <v>9</v>
      </c>
      <c r="E151" s="6">
        <v>1263</v>
      </c>
      <c r="F151" s="6">
        <v>154380.68091844811</v>
      </c>
      <c r="G151" s="6">
        <v>194982800</v>
      </c>
      <c r="H151" s="6">
        <v>50276800</v>
      </c>
      <c r="I151" s="6">
        <f t="shared" si="2"/>
        <v>30</v>
      </c>
      <c r="J151" t="str" cm="1">
        <f t="array" ref="J151">_xlfn.IFS(
AND(I151&gt;=89,I151&lt;=92),"D-90",
AND(I151&gt;=58,I151&lt;=62),"D-60",
AND(I151&gt;=28,I151&lt;=32),"D-30",
AND(I151=0),"당월",
TRUE,"그외")</f>
        <v>D-30</v>
      </c>
    </row>
    <row r="152" spans="1:10" ht="17.649999999999999" customHeight="1" x14ac:dyDescent="0.3">
      <c r="A152" s="4">
        <v>45474</v>
      </c>
      <c r="B152" s="5" t="s">
        <v>11</v>
      </c>
      <c r="C152" s="4">
        <v>45444</v>
      </c>
      <c r="D152" s="5" t="s">
        <v>10</v>
      </c>
      <c r="E152" s="6">
        <v>2723</v>
      </c>
      <c r="F152" s="6">
        <v>179551.65442526629</v>
      </c>
      <c r="G152" s="6">
        <v>488919155</v>
      </c>
      <c r="H152" s="6">
        <v>108093758</v>
      </c>
      <c r="I152" s="6">
        <f t="shared" si="2"/>
        <v>30</v>
      </c>
      <c r="J152" t="str" cm="1">
        <f t="array" ref="J152">_xlfn.IFS(
AND(I152&gt;=89,I152&lt;=92),"D-90",
AND(I152&gt;=58,I152&lt;=62),"D-60",
AND(I152&gt;=28,I152&lt;=32),"D-30",
AND(I152=0),"당월",
TRUE,"그외")</f>
        <v>D-30</v>
      </c>
    </row>
    <row r="153" spans="1:10" ht="17.649999999999999" customHeight="1" x14ac:dyDescent="0.3">
      <c r="A153" s="4">
        <v>45474</v>
      </c>
      <c r="B153" s="5" t="s">
        <v>11</v>
      </c>
      <c r="C153" s="4">
        <v>45474</v>
      </c>
      <c r="D153" s="5" t="s">
        <v>9</v>
      </c>
      <c r="E153" s="6">
        <v>1017</v>
      </c>
      <c r="F153" s="6">
        <v>207379.94100294981</v>
      </c>
      <c r="G153" s="6">
        <v>210905400</v>
      </c>
      <c r="H153" s="6">
        <v>36230400</v>
      </c>
      <c r="I153" s="6">
        <f t="shared" si="2"/>
        <v>0</v>
      </c>
      <c r="J153" t="str" cm="1">
        <f t="array" ref="J153">_xlfn.IFS(
AND(I153&gt;=89,I153&lt;=92),"D-90",
AND(I153&gt;=58,I153&lt;=62),"D-60",
AND(I153&gt;=28,I153&lt;=32),"D-30",
AND(I153=0),"당월",
TRUE,"그외")</f>
        <v>당월</v>
      </c>
    </row>
    <row r="154" spans="1:10" ht="17.649999999999999" customHeight="1" x14ac:dyDescent="0.3">
      <c r="A154" s="4">
        <v>45474</v>
      </c>
      <c r="B154" s="5" t="s">
        <v>11</v>
      </c>
      <c r="C154" s="4">
        <v>45474</v>
      </c>
      <c r="D154" s="5" t="s">
        <v>10</v>
      </c>
      <c r="E154" s="6">
        <v>1257</v>
      </c>
      <c r="F154" s="6">
        <v>236692.22752585521</v>
      </c>
      <c r="G154" s="6">
        <v>297522130</v>
      </c>
      <c r="H154" s="6">
        <v>45572014</v>
      </c>
      <c r="I154" s="6">
        <f t="shared" si="2"/>
        <v>0</v>
      </c>
      <c r="J154" t="str" cm="1">
        <f t="array" ref="J154">_xlfn.IFS(
AND(I154&gt;=89,I154&lt;=92),"D-90",
AND(I154&gt;=58,I154&lt;=62),"D-60",
AND(I154&gt;=28,I154&lt;=32),"D-30",
AND(I154=0),"당월",
TRUE,"그외")</f>
        <v>당월</v>
      </c>
    </row>
    <row r="155" spans="1:10" ht="17.649999999999999" customHeight="1" x14ac:dyDescent="0.3">
      <c r="A155" s="4">
        <v>45474</v>
      </c>
      <c r="B155" s="5" t="s">
        <v>12</v>
      </c>
      <c r="C155" s="4">
        <v>45383</v>
      </c>
      <c r="D155" s="5" t="s">
        <v>9</v>
      </c>
      <c r="E155" s="6">
        <v>697</v>
      </c>
      <c r="F155" s="6">
        <v>208775.60975609749</v>
      </c>
      <c r="G155" s="6">
        <v>145516600</v>
      </c>
      <c r="H155" s="6">
        <v>30528600</v>
      </c>
      <c r="I155" s="6">
        <f t="shared" si="2"/>
        <v>91</v>
      </c>
      <c r="J155" t="str" cm="1">
        <f t="array" ref="J155">_xlfn.IFS(
AND(I155&gt;=89,I155&lt;=92),"D-90",
AND(I155&gt;=58,I155&lt;=62),"D-60",
AND(I155&gt;=28,I155&lt;=32),"D-30",
AND(I155=0),"당월",
TRUE,"그외")</f>
        <v>D-90</v>
      </c>
    </row>
    <row r="156" spans="1:10" ht="17.649999999999999" customHeight="1" x14ac:dyDescent="0.3">
      <c r="A156" s="4">
        <v>45474</v>
      </c>
      <c r="B156" s="5" t="s">
        <v>12</v>
      </c>
      <c r="C156" s="4">
        <v>45383</v>
      </c>
      <c r="D156" s="5" t="s">
        <v>10</v>
      </c>
      <c r="E156" s="6">
        <v>319</v>
      </c>
      <c r="F156" s="6">
        <v>250866.32915360501</v>
      </c>
      <c r="G156" s="6">
        <v>80026359</v>
      </c>
      <c r="H156" s="6">
        <v>13950597</v>
      </c>
      <c r="I156" s="6">
        <f t="shared" si="2"/>
        <v>91</v>
      </c>
      <c r="J156" t="str" cm="1">
        <f t="array" ref="J156">_xlfn.IFS(
AND(I156&gt;=89,I156&lt;=92),"D-90",
AND(I156&gt;=58,I156&lt;=62),"D-60",
AND(I156&gt;=28,I156&lt;=32),"D-30",
AND(I156=0),"당월",
TRUE,"그외")</f>
        <v>D-90</v>
      </c>
    </row>
    <row r="157" spans="1:10" ht="17.649999999999999" customHeight="1" x14ac:dyDescent="0.3">
      <c r="A157" s="4">
        <v>45474</v>
      </c>
      <c r="B157" s="5" t="s">
        <v>12</v>
      </c>
      <c r="C157" s="4">
        <v>45413</v>
      </c>
      <c r="D157" s="5" t="s">
        <v>9</v>
      </c>
      <c r="E157" s="6">
        <v>1191</v>
      </c>
      <c r="F157" s="6">
        <v>195020.48698572631</v>
      </c>
      <c r="G157" s="6">
        <v>232269400</v>
      </c>
      <c r="H157" s="6">
        <v>52997400</v>
      </c>
      <c r="I157" s="6">
        <f t="shared" si="2"/>
        <v>61</v>
      </c>
      <c r="J157" t="str" cm="1">
        <f t="array" ref="J157">_xlfn.IFS(
AND(I157&gt;=89,I157&lt;=92),"D-90",
AND(I157&gt;=58,I157&lt;=62),"D-60",
AND(I157&gt;=28,I157&lt;=32),"D-30",
AND(I157=0),"당월",
TRUE,"그외")</f>
        <v>D-60</v>
      </c>
    </row>
    <row r="158" spans="1:10" ht="17.649999999999999" customHeight="1" x14ac:dyDescent="0.3">
      <c r="A158" s="4">
        <v>45474</v>
      </c>
      <c r="B158" s="5" t="s">
        <v>12</v>
      </c>
      <c r="C158" s="4">
        <v>45413</v>
      </c>
      <c r="D158" s="5" t="s">
        <v>10</v>
      </c>
      <c r="E158" s="6">
        <v>1677</v>
      </c>
      <c r="F158" s="6">
        <v>181347.76446034579</v>
      </c>
      <c r="G158" s="6">
        <v>304120201</v>
      </c>
      <c r="H158" s="6">
        <v>74070763</v>
      </c>
      <c r="I158" s="6">
        <f t="shared" si="2"/>
        <v>61</v>
      </c>
      <c r="J158" t="str" cm="1">
        <f t="array" ref="J158">_xlfn.IFS(
AND(I158&gt;=89,I158&lt;=92),"D-90",
AND(I158&gt;=58,I158&lt;=62),"D-60",
AND(I158&gt;=28,I158&lt;=32),"D-30",
AND(I158=0),"당월",
TRUE,"그외")</f>
        <v>D-60</v>
      </c>
    </row>
    <row r="159" spans="1:10" ht="17.649999999999999" customHeight="1" x14ac:dyDescent="0.3">
      <c r="A159" s="4">
        <v>45474</v>
      </c>
      <c r="B159" s="5" t="s">
        <v>12</v>
      </c>
      <c r="C159" s="4">
        <v>45444</v>
      </c>
      <c r="D159" s="5" t="s">
        <v>9</v>
      </c>
      <c r="E159" s="6">
        <v>685</v>
      </c>
      <c r="F159" s="6">
        <v>207590.36496350361</v>
      </c>
      <c r="G159" s="6">
        <v>142199400</v>
      </c>
      <c r="H159" s="6">
        <v>27327400</v>
      </c>
      <c r="I159" s="6">
        <f t="shared" si="2"/>
        <v>30</v>
      </c>
      <c r="J159" t="str" cm="1">
        <f t="array" ref="J159">_xlfn.IFS(
AND(I159&gt;=89,I159&lt;=92),"D-90",
AND(I159&gt;=58,I159&lt;=62),"D-60",
AND(I159&gt;=28,I159&lt;=32),"D-30",
AND(I159=0),"당월",
TRUE,"그외")</f>
        <v>D-30</v>
      </c>
    </row>
    <row r="160" spans="1:10" ht="17.649999999999999" customHeight="1" x14ac:dyDescent="0.3">
      <c r="A160" s="4">
        <v>45474</v>
      </c>
      <c r="B160" s="5" t="s">
        <v>12</v>
      </c>
      <c r="C160" s="4">
        <v>45444</v>
      </c>
      <c r="D160" s="5" t="s">
        <v>10</v>
      </c>
      <c r="E160" s="6">
        <v>991</v>
      </c>
      <c r="F160" s="6">
        <v>199908.11099899089</v>
      </c>
      <c r="G160" s="6">
        <v>198108938</v>
      </c>
      <c r="H160" s="6">
        <v>37173537</v>
      </c>
      <c r="I160" s="6">
        <f t="shared" si="2"/>
        <v>30</v>
      </c>
      <c r="J160" t="str" cm="1">
        <f t="array" ref="J160">_xlfn.IFS(
AND(I160&gt;=89,I160&lt;=92),"D-90",
AND(I160&gt;=58,I160&lt;=62),"D-60",
AND(I160&gt;=28,I160&lt;=32),"D-30",
AND(I160=0),"당월",
TRUE,"그외")</f>
        <v>D-30</v>
      </c>
    </row>
    <row r="161" spans="1:10" ht="17.649999999999999" customHeight="1" x14ac:dyDescent="0.3">
      <c r="A161" s="4">
        <v>45474</v>
      </c>
      <c r="B161" s="5" t="s">
        <v>12</v>
      </c>
      <c r="C161" s="4">
        <v>45474</v>
      </c>
      <c r="D161" s="5" t="s">
        <v>9</v>
      </c>
      <c r="E161" s="6">
        <v>297</v>
      </c>
      <c r="F161" s="6">
        <v>243857.23905723909</v>
      </c>
      <c r="G161" s="6">
        <v>72425600</v>
      </c>
      <c r="H161" s="6">
        <v>10765600</v>
      </c>
      <c r="I161" s="6">
        <f t="shared" si="2"/>
        <v>0</v>
      </c>
      <c r="J161" t="str" cm="1">
        <f t="array" ref="J161">_xlfn.IFS(
AND(I161&gt;=89,I161&lt;=92),"D-90",
AND(I161&gt;=58,I161&lt;=62),"D-60",
AND(I161&gt;=28,I161&lt;=32),"D-30",
AND(I161=0),"당월",
TRUE,"그외")</f>
        <v>당월</v>
      </c>
    </row>
    <row r="162" spans="1:10" ht="17.649999999999999" customHeight="1" x14ac:dyDescent="0.3">
      <c r="A162" s="4">
        <v>45474</v>
      </c>
      <c r="B162" s="5" t="s">
        <v>12</v>
      </c>
      <c r="C162" s="4">
        <v>45474</v>
      </c>
      <c r="D162" s="5" t="s">
        <v>10</v>
      </c>
      <c r="E162" s="6">
        <v>386</v>
      </c>
      <c r="F162" s="6">
        <v>221900.69430051811</v>
      </c>
      <c r="G162" s="6">
        <v>85653668</v>
      </c>
      <c r="H162" s="6">
        <v>13002398</v>
      </c>
      <c r="I162" s="6">
        <f t="shared" si="2"/>
        <v>0</v>
      </c>
      <c r="J162" t="str" cm="1">
        <f t="array" ref="J162">_xlfn.IFS(
AND(I162&gt;=89,I162&lt;=92),"D-90",
AND(I162&gt;=58,I162&lt;=62),"D-60",
AND(I162&gt;=28,I162&lt;=32),"D-30",
AND(I162=0),"당월",
TRUE,"그외")</f>
        <v>당월</v>
      </c>
    </row>
    <row r="163" spans="1:10" ht="17.649999999999999" customHeight="1" x14ac:dyDescent="0.3">
      <c r="A163" s="4">
        <v>45474</v>
      </c>
      <c r="B163" s="5" t="s">
        <v>13</v>
      </c>
      <c r="C163" s="4">
        <v>45352</v>
      </c>
      <c r="D163" s="5" t="s">
        <v>9</v>
      </c>
      <c r="E163" s="6">
        <v>4</v>
      </c>
      <c r="F163" s="6">
        <v>184000</v>
      </c>
      <c r="G163" s="6">
        <v>736000</v>
      </c>
      <c r="H163" s="6">
        <v>176000</v>
      </c>
      <c r="I163" s="6">
        <f t="shared" si="2"/>
        <v>122</v>
      </c>
      <c r="J163" t="str" cm="1">
        <f t="array" ref="J163">_xlfn.IFS(
AND(I163&gt;=89,I163&lt;=92),"D-90",
AND(I163&gt;=58,I163&lt;=62),"D-60",
AND(I163&gt;=28,I163&lt;=32),"D-30",
AND(I163=0),"당월",
TRUE,"그외")</f>
        <v>그외</v>
      </c>
    </row>
    <row r="164" spans="1:10" ht="17.649999999999999" customHeight="1" x14ac:dyDescent="0.3">
      <c r="A164" s="4">
        <v>45474</v>
      </c>
      <c r="B164" s="5" t="s">
        <v>13</v>
      </c>
      <c r="C164" s="4">
        <v>45352</v>
      </c>
      <c r="D164" s="5" t="s">
        <v>10</v>
      </c>
      <c r="E164" s="6">
        <v>613</v>
      </c>
      <c r="F164" s="6">
        <v>271368.70146818919</v>
      </c>
      <c r="G164" s="6">
        <v>166349014</v>
      </c>
      <c r="H164" s="6">
        <v>26919207</v>
      </c>
      <c r="I164" s="6">
        <f t="shared" si="2"/>
        <v>122</v>
      </c>
      <c r="J164" t="str" cm="1">
        <f t="array" ref="J164">_xlfn.IFS(
AND(I164&gt;=89,I164&lt;=92),"D-90",
AND(I164&gt;=58,I164&lt;=62),"D-60",
AND(I164&gt;=28,I164&lt;=32),"D-30",
AND(I164=0),"당월",
TRUE,"그외")</f>
        <v>그외</v>
      </c>
    </row>
    <row r="165" spans="1:10" ht="17.649999999999999" customHeight="1" x14ac:dyDescent="0.3">
      <c r="A165" s="4">
        <v>45474</v>
      </c>
      <c r="B165" s="5" t="s">
        <v>13</v>
      </c>
      <c r="C165" s="4">
        <v>45383</v>
      </c>
      <c r="D165" s="5" t="s">
        <v>9</v>
      </c>
      <c r="E165" s="6">
        <v>31</v>
      </c>
      <c r="F165" s="6">
        <v>198445.16129032261</v>
      </c>
      <c r="G165" s="6">
        <v>6151800</v>
      </c>
      <c r="H165" s="6">
        <v>1357800</v>
      </c>
      <c r="I165" s="6">
        <f t="shared" si="2"/>
        <v>91</v>
      </c>
      <c r="J165" t="str" cm="1">
        <f t="array" ref="J165">_xlfn.IFS(
AND(I165&gt;=89,I165&lt;=92),"D-90",
AND(I165&gt;=58,I165&lt;=62),"D-60",
AND(I165&gt;=28,I165&lt;=32),"D-30",
AND(I165=0),"당월",
TRUE,"그외")</f>
        <v>D-90</v>
      </c>
    </row>
    <row r="166" spans="1:10" ht="17.649999999999999" customHeight="1" x14ac:dyDescent="0.3">
      <c r="A166" s="4">
        <v>45474</v>
      </c>
      <c r="B166" s="5" t="s">
        <v>13</v>
      </c>
      <c r="C166" s="4">
        <v>45383</v>
      </c>
      <c r="D166" s="5" t="s">
        <v>10</v>
      </c>
      <c r="E166" s="6">
        <v>1256</v>
      </c>
      <c r="F166" s="6">
        <v>242273.88136942679</v>
      </c>
      <c r="G166" s="6">
        <v>304295995</v>
      </c>
      <c r="H166" s="6">
        <v>54933005</v>
      </c>
      <c r="I166" s="6">
        <f t="shared" si="2"/>
        <v>91</v>
      </c>
      <c r="J166" t="str" cm="1">
        <f t="array" ref="J166">_xlfn.IFS(
AND(I166&gt;=89,I166&lt;=92),"D-90",
AND(I166&gt;=58,I166&lt;=62),"D-60",
AND(I166&gt;=28,I166&lt;=32),"D-30",
AND(I166=0),"당월",
TRUE,"그외")</f>
        <v>D-90</v>
      </c>
    </row>
    <row r="167" spans="1:10" ht="17.649999999999999" customHeight="1" x14ac:dyDescent="0.3">
      <c r="A167" s="4">
        <v>45474</v>
      </c>
      <c r="B167" s="5" t="s">
        <v>13</v>
      </c>
      <c r="C167" s="4">
        <v>45413</v>
      </c>
      <c r="D167" s="5" t="s">
        <v>9</v>
      </c>
      <c r="E167" s="6">
        <v>607</v>
      </c>
      <c r="F167" s="6">
        <v>258712.5205930807</v>
      </c>
      <c r="G167" s="6">
        <v>157038500</v>
      </c>
      <c r="H167" s="6">
        <v>27011500</v>
      </c>
      <c r="I167" s="6">
        <f t="shared" si="2"/>
        <v>61</v>
      </c>
      <c r="J167" t="str" cm="1">
        <f t="array" ref="J167">_xlfn.IFS(
AND(I167&gt;=89,I167&lt;=92),"D-90",
AND(I167&gt;=58,I167&lt;=62),"D-60",
AND(I167&gt;=28,I167&lt;=32),"D-30",
AND(I167=0),"당월",
TRUE,"그외")</f>
        <v>D-60</v>
      </c>
    </row>
    <row r="168" spans="1:10" ht="17.649999999999999" customHeight="1" x14ac:dyDescent="0.3">
      <c r="A168" s="4">
        <v>45474</v>
      </c>
      <c r="B168" s="5" t="s">
        <v>13</v>
      </c>
      <c r="C168" s="4">
        <v>45413</v>
      </c>
      <c r="D168" s="5" t="s">
        <v>10</v>
      </c>
      <c r="E168" s="6">
        <v>3835</v>
      </c>
      <c r="F168" s="6">
        <v>179741.2393741851</v>
      </c>
      <c r="G168" s="6">
        <v>689307653</v>
      </c>
      <c r="H168" s="6">
        <v>169811552</v>
      </c>
      <c r="I168" s="6">
        <f t="shared" si="2"/>
        <v>61</v>
      </c>
      <c r="J168" t="str" cm="1">
        <f t="array" ref="J168">_xlfn.IFS(
AND(I168&gt;=89,I168&lt;=92),"D-90",
AND(I168&gt;=58,I168&lt;=62),"D-60",
AND(I168&gt;=28,I168&lt;=32),"D-30",
AND(I168=0),"당월",
TRUE,"그외")</f>
        <v>D-60</v>
      </c>
    </row>
    <row r="169" spans="1:10" ht="17.649999999999999" customHeight="1" x14ac:dyDescent="0.3">
      <c r="A169" s="4">
        <v>45474</v>
      </c>
      <c r="B169" s="5" t="s">
        <v>13</v>
      </c>
      <c r="C169" s="4">
        <v>45444</v>
      </c>
      <c r="D169" s="5" t="s">
        <v>9</v>
      </c>
      <c r="E169" s="6">
        <v>1083</v>
      </c>
      <c r="F169" s="6">
        <v>157745.52169898429</v>
      </c>
      <c r="G169" s="6">
        <v>170838400</v>
      </c>
      <c r="H169" s="6">
        <v>43103400</v>
      </c>
      <c r="I169" s="6">
        <f t="shared" si="2"/>
        <v>30</v>
      </c>
      <c r="J169" t="str" cm="1">
        <f t="array" ref="J169">_xlfn.IFS(
AND(I169&gt;=89,I169&lt;=92),"D-90",
AND(I169&gt;=58,I169&lt;=62),"D-60",
AND(I169&gt;=28,I169&lt;=32),"D-30",
AND(I169=0),"당월",
TRUE,"그외")</f>
        <v>D-30</v>
      </c>
    </row>
    <row r="170" spans="1:10" ht="17.649999999999999" customHeight="1" x14ac:dyDescent="0.3">
      <c r="A170" s="4">
        <v>45474</v>
      </c>
      <c r="B170" s="5" t="s">
        <v>13</v>
      </c>
      <c r="C170" s="4">
        <v>45444</v>
      </c>
      <c r="D170" s="5" t="s">
        <v>10</v>
      </c>
      <c r="E170" s="6">
        <v>2552</v>
      </c>
      <c r="F170" s="6">
        <v>174194.0062695925</v>
      </c>
      <c r="G170" s="6">
        <v>444543104</v>
      </c>
      <c r="H170" s="6">
        <v>100204453</v>
      </c>
      <c r="I170" s="6">
        <f t="shared" si="2"/>
        <v>30</v>
      </c>
      <c r="J170" t="str" cm="1">
        <f t="array" ref="J170">_xlfn.IFS(
AND(I170&gt;=89,I170&lt;=92),"D-90",
AND(I170&gt;=58,I170&lt;=62),"D-60",
AND(I170&gt;=28,I170&lt;=32),"D-30",
AND(I170=0),"당월",
TRUE,"그외")</f>
        <v>D-30</v>
      </c>
    </row>
    <row r="171" spans="1:10" ht="17.649999999999999" customHeight="1" x14ac:dyDescent="0.3">
      <c r="A171" s="4">
        <v>45474</v>
      </c>
      <c r="B171" s="5" t="s">
        <v>13</v>
      </c>
      <c r="C171" s="4">
        <v>45474</v>
      </c>
      <c r="D171" s="5" t="s">
        <v>9</v>
      </c>
      <c r="E171" s="6">
        <v>149</v>
      </c>
      <c r="F171" s="6">
        <v>220340.93959731539</v>
      </c>
      <c r="G171" s="6">
        <v>32830800</v>
      </c>
      <c r="H171" s="6">
        <v>5356800</v>
      </c>
      <c r="I171" s="6">
        <f t="shared" si="2"/>
        <v>0</v>
      </c>
      <c r="J171" t="str" cm="1">
        <f t="array" ref="J171">_xlfn.IFS(
AND(I171&gt;=89,I171&lt;=92),"D-90",
AND(I171&gt;=58,I171&lt;=62),"D-60",
AND(I171&gt;=28,I171&lt;=32),"D-30",
AND(I171=0),"당월",
TRUE,"그외")</f>
        <v>당월</v>
      </c>
    </row>
    <row r="172" spans="1:10" ht="17.649999999999999" customHeight="1" x14ac:dyDescent="0.3">
      <c r="A172" s="4">
        <v>45474</v>
      </c>
      <c r="B172" s="5" t="s">
        <v>13</v>
      </c>
      <c r="C172" s="4">
        <v>45474</v>
      </c>
      <c r="D172" s="5" t="s">
        <v>10</v>
      </c>
      <c r="E172" s="6">
        <v>866</v>
      </c>
      <c r="F172" s="6">
        <v>238197.12933025401</v>
      </c>
      <c r="G172" s="6">
        <v>206278714</v>
      </c>
      <c r="H172" s="6">
        <v>30959310</v>
      </c>
      <c r="I172" s="6">
        <f t="shared" si="2"/>
        <v>0</v>
      </c>
      <c r="J172" t="str" cm="1">
        <f t="array" ref="J172">_xlfn.IFS(
AND(I172&gt;=89,I172&lt;=92),"D-90",
AND(I172&gt;=58,I172&lt;=62),"D-60",
AND(I172&gt;=28,I172&lt;=32),"D-30",
AND(I172=0),"당월",
TRUE,"그외")</f>
        <v>당월</v>
      </c>
    </row>
    <row r="173" spans="1:10" ht="17.649999999999999" customHeight="1" x14ac:dyDescent="0.3">
      <c r="A173" s="4">
        <v>45505</v>
      </c>
      <c r="B173" s="5" t="s">
        <v>8</v>
      </c>
      <c r="C173" s="4">
        <v>45383</v>
      </c>
      <c r="D173" s="5" t="s">
        <v>9</v>
      </c>
      <c r="E173" s="6">
        <v>199</v>
      </c>
      <c r="F173" s="6">
        <v>276558.79396984918</v>
      </c>
      <c r="G173" s="6">
        <v>55035200</v>
      </c>
      <c r="H173" s="6">
        <v>8716200</v>
      </c>
      <c r="I173" s="6">
        <f t="shared" si="2"/>
        <v>122</v>
      </c>
      <c r="J173" t="str" cm="1">
        <f t="array" ref="J173">_xlfn.IFS(
AND(I173&gt;=89,I173&lt;=92),"D-90",
AND(I173&gt;=58,I173&lt;=62),"D-60",
AND(I173&gt;=28,I173&lt;=32),"D-30",
AND(I173=0),"당월",
TRUE,"그외")</f>
        <v>그외</v>
      </c>
    </row>
    <row r="174" spans="1:10" ht="17.649999999999999" customHeight="1" x14ac:dyDescent="0.3">
      <c r="A174" s="4">
        <v>45505</v>
      </c>
      <c r="B174" s="5" t="s">
        <v>8</v>
      </c>
      <c r="C174" s="4">
        <v>45383</v>
      </c>
      <c r="D174" s="5" t="s">
        <v>10</v>
      </c>
      <c r="E174" s="6">
        <v>633</v>
      </c>
      <c r="F174" s="6">
        <v>278088.20063191152</v>
      </c>
      <c r="G174" s="6">
        <v>176029831</v>
      </c>
      <c r="H174" s="6">
        <v>27684520</v>
      </c>
      <c r="I174" s="6">
        <f t="shared" si="2"/>
        <v>122</v>
      </c>
      <c r="J174" t="str" cm="1">
        <f t="array" ref="J174">_xlfn.IFS(
AND(I174&gt;=89,I174&lt;=92),"D-90",
AND(I174&gt;=58,I174&lt;=62),"D-60",
AND(I174&gt;=28,I174&lt;=32),"D-30",
AND(I174=0),"당월",
TRUE,"그외")</f>
        <v>그외</v>
      </c>
    </row>
    <row r="175" spans="1:10" ht="17.649999999999999" customHeight="1" x14ac:dyDescent="0.3">
      <c r="A175" s="4">
        <v>45505</v>
      </c>
      <c r="B175" s="5" t="s">
        <v>8</v>
      </c>
      <c r="C175" s="4">
        <v>45413</v>
      </c>
      <c r="D175" s="5" t="s">
        <v>9</v>
      </c>
      <c r="E175" s="6">
        <v>397</v>
      </c>
      <c r="F175" s="6">
        <v>267588.16120906803</v>
      </c>
      <c r="G175" s="6">
        <v>106232500</v>
      </c>
      <c r="H175" s="6">
        <v>17666500</v>
      </c>
      <c r="I175" s="6">
        <f t="shared" si="2"/>
        <v>92</v>
      </c>
      <c r="J175" t="str" cm="1">
        <f t="array" ref="J175">_xlfn.IFS(
AND(I175&gt;=89,I175&lt;=92),"D-90",
AND(I175&gt;=58,I175&lt;=62),"D-60",
AND(I175&gt;=28,I175&lt;=32),"D-30",
AND(I175=0),"당월",
TRUE,"그외")</f>
        <v>D-90</v>
      </c>
    </row>
    <row r="176" spans="1:10" ht="17.649999999999999" customHeight="1" x14ac:dyDescent="0.3">
      <c r="A176" s="4">
        <v>45505</v>
      </c>
      <c r="B176" s="5" t="s">
        <v>8</v>
      </c>
      <c r="C176" s="4">
        <v>45413</v>
      </c>
      <c r="D176" s="5" t="s">
        <v>10</v>
      </c>
      <c r="E176" s="6">
        <v>544</v>
      </c>
      <c r="F176" s="6">
        <v>303785.4669117647</v>
      </c>
      <c r="G176" s="6">
        <v>165259294</v>
      </c>
      <c r="H176" s="6">
        <v>23615213</v>
      </c>
      <c r="I176" s="6">
        <f t="shared" si="2"/>
        <v>92</v>
      </c>
      <c r="J176" t="str" cm="1">
        <f t="array" ref="J176">_xlfn.IFS(
AND(I176&gt;=89,I176&lt;=92),"D-90",
AND(I176&gt;=58,I176&lt;=62),"D-60",
AND(I176&gt;=28,I176&lt;=32),"D-30",
AND(I176=0),"당월",
TRUE,"그외")</f>
        <v>D-90</v>
      </c>
    </row>
    <row r="177" spans="1:10" ht="17.649999999999999" customHeight="1" x14ac:dyDescent="0.3">
      <c r="A177" s="4">
        <v>45505</v>
      </c>
      <c r="B177" s="5" t="s">
        <v>8</v>
      </c>
      <c r="C177" s="4">
        <v>45444</v>
      </c>
      <c r="D177" s="5" t="s">
        <v>9</v>
      </c>
      <c r="E177" s="6">
        <v>962</v>
      </c>
      <c r="F177" s="6">
        <v>199807.69230769231</v>
      </c>
      <c r="G177" s="6">
        <v>192215000</v>
      </c>
      <c r="H177" s="6">
        <v>38297000</v>
      </c>
      <c r="I177" s="6">
        <f t="shared" si="2"/>
        <v>61</v>
      </c>
      <c r="J177" t="str" cm="1">
        <f t="array" ref="J177">_xlfn.IFS(
AND(I177&gt;=89,I177&lt;=92),"D-90",
AND(I177&gt;=58,I177&lt;=62),"D-60",
AND(I177&gt;=28,I177&lt;=32),"D-30",
AND(I177=0),"당월",
TRUE,"그외")</f>
        <v>D-60</v>
      </c>
    </row>
    <row r="178" spans="1:10" ht="17.649999999999999" customHeight="1" x14ac:dyDescent="0.3">
      <c r="A178" s="4">
        <v>45505</v>
      </c>
      <c r="B178" s="5" t="s">
        <v>8</v>
      </c>
      <c r="C178" s="4">
        <v>45444</v>
      </c>
      <c r="D178" s="5" t="s">
        <v>10</v>
      </c>
      <c r="E178" s="6">
        <v>1406</v>
      </c>
      <c r="F178" s="6">
        <v>275551.89900426741</v>
      </c>
      <c r="G178" s="6">
        <v>387425970</v>
      </c>
      <c r="H178" s="6">
        <v>54213786</v>
      </c>
      <c r="I178" s="6">
        <f t="shared" si="2"/>
        <v>61</v>
      </c>
      <c r="J178" t="str" cm="1">
        <f t="array" ref="J178">_xlfn.IFS(
AND(I178&gt;=89,I178&lt;=92),"D-90",
AND(I178&gt;=58,I178&lt;=62),"D-60",
AND(I178&gt;=28,I178&lt;=32),"D-30",
AND(I178=0),"당월",
TRUE,"그외")</f>
        <v>D-60</v>
      </c>
    </row>
    <row r="179" spans="1:10" ht="17.649999999999999" customHeight="1" x14ac:dyDescent="0.3">
      <c r="A179" s="4">
        <v>45505</v>
      </c>
      <c r="B179" s="5" t="s">
        <v>8</v>
      </c>
      <c r="C179" s="4">
        <v>45474</v>
      </c>
      <c r="D179" s="5" t="s">
        <v>9</v>
      </c>
      <c r="E179" s="6">
        <v>2198</v>
      </c>
      <c r="F179" s="6">
        <v>200480.43676069149</v>
      </c>
      <c r="G179" s="6">
        <v>440656000</v>
      </c>
      <c r="H179" s="6">
        <v>78308000</v>
      </c>
      <c r="I179" s="6">
        <f t="shared" si="2"/>
        <v>31</v>
      </c>
      <c r="J179" t="str" cm="1">
        <f t="array" ref="J179">_xlfn.IFS(
AND(I179&gt;=89,I179&lt;=92),"D-90",
AND(I179&gt;=58,I179&lt;=62),"D-60",
AND(I179&gt;=28,I179&lt;=32),"D-30",
AND(I179=0),"당월",
TRUE,"그외")</f>
        <v>D-30</v>
      </c>
    </row>
    <row r="180" spans="1:10" ht="17.649999999999999" customHeight="1" x14ac:dyDescent="0.3">
      <c r="A180" s="4">
        <v>45505</v>
      </c>
      <c r="B180" s="5" t="s">
        <v>8</v>
      </c>
      <c r="C180" s="4">
        <v>45474</v>
      </c>
      <c r="D180" s="5" t="s">
        <v>10</v>
      </c>
      <c r="E180" s="6">
        <v>2643</v>
      </c>
      <c r="F180" s="6">
        <v>246066.26901248581</v>
      </c>
      <c r="G180" s="6">
        <v>650353149</v>
      </c>
      <c r="H180" s="6">
        <v>92287700</v>
      </c>
      <c r="I180" s="6">
        <f t="shared" si="2"/>
        <v>31</v>
      </c>
      <c r="J180" t="str" cm="1">
        <f t="array" ref="J180">_xlfn.IFS(
AND(I180&gt;=89,I180&lt;=92),"D-90",
AND(I180&gt;=58,I180&lt;=62),"D-60",
AND(I180&gt;=28,I180&lt;=32),"D-30",
AND(I180=0),"당월",
TRUE,"그외")</f>
        <v>D-30</v>
      </c>
    </row>
    <row r="181" spans="1:10" ht="17.649999999999999" customHeight="1" x14ac:dyDescent="0.3">
      <c r="A181" s="4">
        <v>45505</v>
      </c>
      <c r="B181" s="5" t="s">
        <v>8</v>
      </c>
      <c r="C181" s="4">
        <v>45505</v>
      </c>
      <c r="D181" s="5" t="s">
        <v>9</v>
      </c>
      <c r="E181" s="6">
        <v>566</v>
      </c>
      <c r="F181" s="6">
        <v>196330.16961130741</v>
      </c>
      <c r="G181" s="6">
        <v>111122876</v>
      </c>
      <c r="H181" s="6">
        <v>22669468</v>
      </c>
      <c r="I181" s="6">
        <f t="shared" si="2"/>
        <v>0</v>
      </c>
      <c r="J181" t="str" cm="1">
        <f t="array" ref="J181">_xlfn.IFS(
AND(I181&gt;=89,I181&lt;=92),"D-90",
AND(I181&gt;=58,I181&lt;=62),"D-60",
AND(I181&gt;=28,I181&lt;=32),"D-30",
AND(I181=0),"당월",
TRUE,"그외")</f>
        <v>당월</v>
      </c>
    </row>
    <row r="182" spans="1:10" ht="17.649999999999999" customHeight="1" x14ac:dyDescent="0.3">
      <c r="A182" s="4">
        <v>45505</v>
      </c>
      <c r="B182" s="5" t="s">
        <v>8</v>
      </c>
      <c r="C182" s="4">
        <v>45505</v>
      </c>
      <c r="D182" s="5" t="s">
        <v>10</v>
      </c>
      <c r="E182" s="6">
        <v>1216</v>
      </c>
      <c r="F182" s="6">
        <v>206817.84046052629</v>
      </c>
      <c r="G182" s="6">
        <v>251490494</v>
      </c>
      <c r="H182" s="6">
        <v>45975193</v>
      </c>
      <c r="I182" s="6">
        <f t="shared" si="2"/>
        <v>0</v>
      </c>
      <c r="J182" t="str" cm="1">
        <f t="array" ref="J182">_xlfn.IFS(
AND(I182&gt;=89,I182&lt;=92),"D-90",
AND(I182&gt;=58,I182&lt;=62),"D-60",
AND(I182&gt;=28,I182&lt;=32),"D-30",
AND(I182=0),"당월",
TRUE,"그외")</f>
        <v>당월</v>
      </c>
    </row>
    <row r="183" spans="1:10" ht="17.649999999999999" customHeight="1" x14ac:dyDescent="0.3">
      <c r="A183" s="4">
        <v>45505</v>
      </c>
      <c r="B183" s="5" t="s">
        <v>11</v>
      </c>
      <c r="C183" s="4">
        <v>45352</v>
      </c>
      <c r="D183" s="5" t="s">
        <v>10</v>
      </c>
      <c r="E183" s="6">
        <v>7</v>
      </c>
      <c r="F183" s="6">
        <v>481500</v>
      </c>
      <c r="G183" s="6">
        <v>3370500</v>
      </c>
      <c r="H183" s="6">
        <v>308000</v>
      </c>
      <c r="I183" s="6">
        <f t="shared" si="2"/>
        <v>153</v>
      </c>
      <c r="J183" t="str" cm="1">
        <f t="array" ref="J183">_xlfn.IFS(
AND(I183&gt;=89,I183&lt;=92),"D-90",
AND(I183&gt;=58,I183&lt;=62),"D-60",
AND(I183&gt;=28,I183&lt;=32),"D-30",
AND(I183=0),"당월",
TRUE,"그외")</f>
        <v>그외</v>
      </c>
    </row>
    <row r="184" spans="1:10" ht="17.649999999999999" customHeight="1" x14ac:dyDescent="0.3">
      <c r="A184" s="4">
        <v>45505</v>
      </c>
      <c r="B184" s="5" t="s">
        <v>11</v>
      </c>
      <c r="C184" s="4">
        <v>45383</v>
      </c>
      <c r="D184" s="5" t="s">
        <v>10</v>
      </c>
      <c r="E184" s="6">
        <v>299</v>
      </c>
      <c r="F184" s="6">
        <v>361294.98327759199</v>
      </c>
      <c r="G184" s="6">
        <v>108027200</v>
      </c>
      <c r="H184" s="6">
        <v>13096200</v>
      </c>
      <c r="I184" s="6">
        <f t="shared" si="2"/>
        <v>122</v>
      </c>
      <c r="J184" t="str" cm="1">
        <f t="array" ref="J184">_xlfn.IFS(
AND(I184&gt;=89,I184&lt;=92),"D-90",
AND(I184&gt;=58,I184&lt;=62),"D-60",
AND(I184&gt;=28,I184&lt;=32),"D-30",
AND(I184=0),"당월",
TRUE,"그외")</f>
        <v>그외</v>
      </c>
    </row>
    <row r="185" spans="1:10" ht="17.649999999999999" customHeight="1" x14ac:dyDescent="0.3">
      <c r="A185" s="4">
        <v>45505</v>
      </c>
      <c r="B185" s="5" t="s">
        <v>11</v>
      </c>
      <c r="C185" s="4">
        <v>45413</v>
      </c>
      <c r="D185" s="5" t="s">
        <v>9</v>
      </c>
      <c r="E185" s="6">
        <v>123</v>
      </c>
      <c r="F185" s="6">
        <v>239621.95121951221</v>
      </c>
      <c r="G185" s="6">
        <v>29473500</v>
      </c>
      <c r="H185" s="6">
        <v>5473500</v>
      </c>
      <c r="I185" s="6">
        <f t="shared" si="2"/>
        <v>92</v>
      </c>
      <c r="J185" t="str" cm="1">
        <f t="array" ref="J185">_xlfn.IFS(
AND(I185&gt;=89,I185&lt;=92),"D-90",
AND(I185&gt;=58,I185&lt;=62),"D-60",
AND(I185&gt;=28,I185&lt;=32),"D-30",
AND(I185=0),"당월",
TRUE,"그외")</f>
        <v>D-90</v>
      </c>
    </row>
    <row r="186" spans="1:10" ht="17.649999999999999" customHeight="1" x14ac:dyDescent="0.3">
      <c r="A186" s="4">
        <v>45505</v>
      </c>
      <c r="B186" s="5" t="s">
        <v>11</v>
      </c>
      <c r="C186" s="4">
        <v>45413</v>
      </c>
      <c r="D186" s="5" t="s">
        <v>10</v>
      </c>
      <c r="E186" s="6">
        <v>799</v>
      </c>
      <c r="F186" s="6">
        <v>230970.54067584479</v>
      </c>
      <c r="G186" s="6">
        <v>184545462</v>
      </c>
      <c r="H186" s="6">
        <v>35529574</v>
      </c>
      <c r="I186" s="6">
        <f t="shared" si="2"/>
        <v>92</v>
      </c>
      <c r="J186" t="str" cm="1">
        <f t="array" ref="J186">_xlfn.IFS(
AND(I186&gt;=89,I186&lt;=92),"D-90",
AND(I186&gt;=58,I186&lt;=62),"D-60",
AND(I186&gt;=28,I186&lt;=32),"D-30",
AND(I186=0),"당월",
TRUE,"그외")</f>
        <v>D-90</v>
      </c>
    </row>
    <row r="187" spans="1:10" ht="17.649999999999999" customHeight="1" x14ac:dyDescent="0.3">
      <c r="A187" s="4">
        <v>45505</v>
      </c>
      <c r="B187" s="5" t="s">
        <v>11</v>
      </c>
      <c r="C187" s="4">
        <v>45444</v>
      </c>
      <c r="D187" s="5" t="s">
        <v>9</v>
      </c>
      <c r="E187" s="6">
        <v>231</v>
      </c>
      <c r="F187" s="6">
        <v>201999.13419913419</v>
      </c>
      <c r="G187" s="6">
        <v>46661800</v>
      </c>
      <c r="H187" s="6">
        <v>9193800</v>
      </c>
      <c r="I187" s="6">
        <f t="shared" si="2"/>
        <v>61</v>
      </c>
      <c r="J187" t="str" cm="1">
        <f t="array" ref="J187">_xlfn.IFS(
AND(I187&gt;=89,I187&lt;=92),"D-90",
AND(I187&gt;=58,I187&lt;=62),"D-60",
AND(I187&gt;=28,I187&lt;=32),"D-30",
AND(I187=0),"당월",
TRUE,"그외")</f>
        <v>D-60</v>
      </c>
    </row>
    <row r="188" spans="1:10" ht="17.649999999999999" customHeight="1" x14ac:dyDescent="0.3">
      <c r="A188" s="4">
        <v>45505</v>
      </c>
      <c r="B188" s="5" t="s">
        <v>11</v>
      </c>
      <c r="C188" s="4">
        <v>45444</v>
      </c>
      <c r="D188" s="5" t="s">
        <v>10</v>
      </c>
      <c r="E188" s="6">
        <v>1284</v>
      </c>
      <c r="F188" s="6">
        <v>252357.87616822429</v>
      </c>
      <c r="G188" s="6">
        <v>324027513</v>
      </c>
      <c r="H188" s="6">
        <v>51010211</v>
      </c>
      <c r="I188" s="6">
        <f t="shared" si="2"/>
        <v>61</v>
      </c>
      <c r="J188" t="str" cm="1">
        <f t="array" ref="J188">_xlfn.IFS(
AND(I188&gt;=89,I188&lt;=92),"D-90",
AND(I188&gt;=58,I188&lt;=62),"D-60",
AND(I188&gt;=28,I188&lt;=32),"D-30",
AND(I188=0),"당월",
TRUE,"그외")</f>
        <v>D-60</v>
      </c>
    </row>
    <row r="189" spans="1:10" ht="17.649999999999999" customHeight="1" x14ac:dyDescent="0.3">
      <c r="A189" s="4">
        <v>45505</v>
      </c>
      <c r="B189" s="5" t="s">
        <v>11</v>
      </c>
      <c r="C189" s="4">
        <v>45474</v>
      </c>
      <c r="D189" s="5" t="s">
        <v>9</v>
      </c>
      <c r="E189" s="6">
        <v>2124</v>
      </c>
      <c r="F189" s="6">
        <v>210164.5009416196</v>
      </c>
      <c r="G189" s="6">
        <v>446389400</v>
      </c>
      <c r="H189" s="6">
        <v>75614400</v>
      </c>
      <c r="I189" s="6">
        <f t="shared" si="2"/>
        <v>31</v>
      </c>
      <c r="J189" t="str" cm="1">
        <f t="array" ref="J189">_xlfn.IFS(
AND(I189&gt;=89,I189&lt;=92),"D-90",
AND(I189&gt;=58,I189&lt;=62),"D-60",
AND(I189&gt;=28,I189&lt;=32),"D-30",
AND(I189=0),"당월",
TRUE,"그외")</f>
        <v>D-30</v>
      </c>
    </row>
    <row r="190" spans="1:10" ht="17.649999999999999" customHeight="1" x14ac:dyDescent="0.3">
      <c r="A190" s="4">
        <v>45505</v>
      </c>
      <c r="B190" s="5" t="s">
        <v>11</v>
      </c>
      <c r="C190" s="4">
        <v>45474</v>
      </c>
      <c r="D190" s="5" t="s">
        <v>10</v>
      </c>
      <c r="E190" s="6">
        <v>3605</v>
      </c>
      <c r="F190" s="6">
        <v>229663.91816920941</v>
      </c>
      <c r="G190" s="6">
        <v>827938425</v>
      </c>
      <c r="H190" s="6">
        <v>128557585</v>
      </c>
      <c r="I190" s="6">
        <f t="shared" si="2"/>
        <v>31</v>
      </c>
      <c r="J190" t="str" cm="1">
        <f t="array" ref="J190">_xlfn.IFS(
AND(I190&gt;=89,I190&lt;=92),"D-90",
AND(I190&gt;=58,I190&lt;=62),"D-60",
AND(I190&gt;=28,I190&lt;=32),"D-30",
AND(I190=0),"당월",
TRUE,"그외")</f>
        <v>D-30</v>
      </c>
    </row>
    <row r="191" spans="1:10" ht="17.649999999999999" customHeight="1" x14ac:dyDescent="0.3">
      <c r="A191" s="4">
        <v>45505</v>
      </c>
      <c r="B191" s="5" t="s">
        <v>11</v>
      </c>
      <c r="C191" s="4">
        <v>45505</v>
      </c>
      <c r="D191" s="5" t="s">
        <v>9</v>
      </c>
      <c r="E191" s="6">
        <v>289</v>
      </c>
      <c r="F191" s="6">
        <v>215942.5605536332</v>
      </c>
      <c r="G191" s="6">
        <v>62407400</v>
      </c>
      <c r="H191" s="6">
        <v>11557400</v>
      </c>
      <c r="I191" s="6">
        <f t="shared" si="2"/>
        <v>0</v>
      </c>
      <c r="J191" t="str" cm="1">
        <f t="array" ref="J191">_xlfn.IFS(
AND(I191&gt;=89,I191&lt;=92),"D-90",
AND(I191&gt;=58,I191&lt;=62),"D-60",
AND(I191&gt;=28,I191&lt;=32),"D-30",
AND(I191=0),"당월",
TRUE,"그외")</f>
        <v>당월</v>
      </c>
    </row>
    <row r="192" spans="1:10" ht="17.649999999999999" customHeight="1" x14ac:dyDescent="0.3">
      <c r="A192" s="4">
        <v>45505</v>
      </c>
      <c r="B192" s="5" t="s">
        <v>11</v>
      </c>
      <c r="C192" s="4">
        <v>45505</v>
      </c>
      <c r="D192" s="5" t="s">
        <v>10</v>
      </c>
      <c r="E192" s="6">
        <v>1142</v>
      </c>
      <c r="F192" s="6">
        <v>195104.82749562169</v>
      </c>
      <c r="G192" s="6">
        <v>222809713</v>
      </c>
      <c r="H192" s="6">
        <v>44772514</v>
      </c>
      <c r="I192" s="6">
        <f t="shared" si="2"/>
        <v>0</v>
      </c>
      <c r="J192" t="str" cm="1">
        <f t="array" ref="J192">_xlfn.IFS(
AND(I192&gt;=89,I192&lt;=92),"D-90",
AND(I192&gt;=58,I192&lt;=62),"D-60",
AND(I192&gt;=28,I192&lt;=32),"D-30",
AND(I192=0),"당월",
TRUE,"그외")</f>
        <v>당월</v>
      </c>
    </row>
    <row r="193" spans="1:10" ht="17.649999999999999" customHeight="1" x14ac:dyDescent="0.3">
      <c r="A193" s="4">
        <v>45505</v>
      </c>
      <c r="B193" s="5" t="s">
        <v>12</v>
      </c>
      <c r="C193" s="4">
        <v>45383</v>
      </c>
      <c r="D193" s="5" t="s">
        <v>9</v>
      </c>
      <c r="E193" s="6">
        <v>386</v>
      </c>
      <c r="F193" s="6">
        <v>250717.09844559591</v>
      </c>
      <c r="G193" s="6">
        <v>96776800</v>
      </c>
      <c r="H193" s="6">
        <v>16906800</v>
      </c>
      <c r="I193" s="6">
        <f t="shared" si="2"/>
        <v>122</v>
      </c>
      <c r="J193" t="str" cm="1">
        <f t="array" ref="J193">_xlfn.IFS(
AND(I193&gt;=89,I193&lt;=92),"D-90",
AND(I193&gt;=58,I193&lt;=62),"D-60",
AND(I193&gt;=28,I193&lt;=32),"D-30",
AND(I193=0),"당월",
TRUE,"그외")</f>
        <v>그외</v>
      </c>
    </row>
    <row r="194" spans="1:10" ht="17.649999999999999" customHeight="1" x14ac:dyDescent="0.3">
      <c r="A194" s="4">
        <v>45505</v>
      </c>
      <c r="B194" s="5" t="s">
        <v>12</v>
      </c>
      <c r="C194" s="4">
        <v>45383</v>
      </c>
      <c r="D194" s="5" t="s">
        <v>10</v>
      </c>
      <c r="E194" s="6">
        <v>187</v>
      </c>
      <c r="F194" s="6">
        <v>326745.45454545447</v>
      </c>
      <c r="G194" s="6">
        <v>61101400</v>
      </c>
      <c r="H194" s="6">
        <v>8190600</v>
      </c>
      <c r="I194" s="6">
        <f t="shared" si="2"/>
        <v>122</v>
      </c>
      <c r="J194" t="str" cm="1">
        <f t="array" ref="J194">_xlfn.IFS(
AND(I194&gt;=89,I194&lt;=92),"D-90",
AND(I194&gt;=58,I194&lt;=62),"D-60",
AND(I194&gt;=28,I194&lt;=32),"D-30",
AND(I194=0),"당월",
TRUE,"그외")</f>
        <v>그외</v>
      </c>
    </row>
    <row r="195" spans="1:10" ht="17.649999999999999" customHeight="1" x14ac:dyDescent="0.3">
      <c r="A195" s="4">
        <v>45505</v>
      </c>
      <c r="B195" s="5" t="s">
        <v>12</v>
      </c>
      <c r="C195" s="4">
        <v>45413</v>
      </c>
      <c r="D195" s="5" t="s">
        <v>9</v>
      </c>
      <c r="E195" s="6">
        <v>452</v>
      </c>
      <c r="F195" s="6">
        <v>251199.1150442478</v>
      </c>
      <c r="G195" s="6">
        <v>113542000</v>
      </c>
      <c r="H195" s="6">
        <v>20114000</v>
      </c>
      <c r="I195" s="6">
        <f t="shared" ref="I195:I258" si="3">A195-C195</f>
        <v>92</v>
      </c>
      <c r="J195" t="str" cm="1">
        <f t="array" ref="J195">_xlfn.IFS(
AND(I195&gt;=89,I195&lt;=92),"D-90",
AND(I195&gt;=58,I195&lt;=62),"D-60",
AND(I195&gt;=28,I195&lt;=32),"D-30",
AND(I195=0),"당월",
TRUE,"그외")</f>
        <v>D-90</v>
      </c>
    </row>
    <row r="196" spans="1:10" ht="17.649999999999999" customHeight="1" x14ac:dyDescent="0.3">
      <c r="A196" s="4">
        <v>45505</v>
      </c>
      <c r="B196" s="5" t="s">
        <v>12</v>
      </c>
      <c r="C196" s="4">
        <v>45413</v>
      </c>
      <c r="D196" s="5" t="s">
        <v>10</v>
      </c>
      <c r="E196" s="6">
        <v>524</v>
      </c>
      <c r="F196" s="6">
        <v>293128.74045801529</v>
      </c>
      <c r="G196" s="6">
        <v>153599460</v>
      </c>
      <c r="H196" s="6">
        <v>22958537</v>
      </c>
      <c r="I196" s="6">
        <f t="shared" si="3"/>
        <v>92</v>
      </c>
      <c r="J196" t="str" cm="1">
        <f t="array" ref="J196">_xlfn.IFS(
AND(I196&gt;=89,I196&lt;=92),"D-90",
AND(I196&gt;=58,I196&lt;=62),"D-60",
AND(I196&gt;=28,I196&lt;=32),"D-30",
AND(I196=0),"당월",
TRUE,"그외")</f>
        <v>D-90</v>
      </c>
    </row>
    <row r="197" spans="1:10" ht="17.649999999999999" customHeight="1" x14ac:dyDescent="0.3">
      <c r="A197" s="4">
        <v>45505</v>
      </c>
      <c r="B197" s="5" t="s">
        <v>12</v>
      </c>
      <c r="C197" s="4">
        <v>45444</v>
      </c>
      <c r="D197" s="5" t="s">
        <v>9</v>
      </c>
      <c r="E197" s="6">
        <v>371</v>
      </c>
      <c r="F197" s="6">
        <v>250236.65768194071</v>
      </c>
      <c r="G197" s="6">
        <v>92837800</v>
      </c>
      <c r="H197" s="6">
        <v>14765800</v>
      </c>
      <c r="I197" s="6">
        <f t="shared" si="3"/>
        <v>61</v>
      </c>
      <c r="J197" t="str" cm="1">
        <f t="array" ref="J197">_xlfn.IFS(
AND(I197&gt;=89,I197&lt;=92),"D-90",
AND(I197&gt;=58,I197&lt;=62),"D-60",
AND(I197&gt;=28,I197&lt;=32),"D-30",
AND(I197=0),"당월",
TRUE,"그외")</f>
        <v>D-60</v>
      </c>
    </row>
    <row r="198" spans="1:10" ht="17.649999999999999" customHeight="1" x14ac:dyDescent="0.3">
      <c r="A198" s="4">
        <v>45505</v>
      </c>
      <c r="B198" s="5" t="s">
        <v>12</v>
      </c>
      <c r="C198" s="4">
        <v>45444</v>
      </c>
      <c r="D198" s="5" t="s">
        <v>10</v>
      </c>
      <c r="E198" s="6">
        <v>828</v>
      </c>
      <c r="F198" s="6">
        <v>254412.7910628019</v>
      </c>
      <c r="G198" s="6">
        <v>210653791</v>
      </c>
      <c r="H198" s="6">
        <v>32729649</v>
      </c>
      <c r="I198" s="6">
        <f t="shared" si="3"/>
        <v>61</v>
      </c>
      <c r="J198" t="str" cm="1">
        <f t="array" ref="J198">_xlfn.IFS(
AND(I198&gt;=89,I198&lt;=92),"D-90",
AND(I198&gt;=58,I198&lt;=62),"D-60",
AND(I198&gt;=28,I198&lt;=32),"D-30",
AND(I198=0),"당월",
TRUE,"그외")</f>
        <v>D-60</v>
      </c>
    </row>
    <row r="199" spans="1:10" ht="17.649999999999999" customHeight="1" x14ac:dyDescent="0.3">
      <c r="A199" s="4">
        <v>45505</v>
      </c>
      <c r="B199" s="5" t="s">
        <v>12</v>
      </c>
      <c r="C199" s="4">
        <v>45474</v>
      </c>
      <c r="D199" s="5" t="s">
        <v>9</v>
      </c>
      <c r="E199" s="6">
        <v>991</v>
      </c>
      <c r="F199" s="6">
        <v>228176.99293642791</v>
      </c>
      <c r="G199" s="6">
        <v>226123400</v>
      </c>
      <c r="H199" s="6">
        <v>35334400</v>
      </c>
      <c r="I199" s="6">
        <f t="shared" si="3"/>
        <v>31</v>
      </c>
      <c r="J199" t="str" cm="1">
        <f t="array" ref="J199">_xlfn.IFS(
AND(I199&gt;=89,I199&lt;=92),"D-90",
AND(I199&gt;=58,I199&lt;=62),"D-60",
AND(I199&gt;=28,I199&lt;=32),"D-30",
AND(I199=0),"당월",
TRUE,"그외")</f>
        <v>D-30</v>
      </c>
    </row>
    <row r="200" spans="1:10" ht="17.649999999999999" customHeight="1" x14ac:dyDescent="0.3">
      <c r="A200" s="4">
        <v>45505</v>
      </c>
      <c r="B200" s="5" t="s">
        <v>12</v>
      </c>
      <c r="C200" s="4">
        <v>45474</v>
      </c>
      <c r="D200" s="5" t="s">
        <v>10</v>
      </c>
      <c r="E200" s="6">
        <v>1117</v>
      </c>
      <c r="F200" s="6">
        <v>240100.19606087741</v>
      </c>
      <c r="G200" s="6">
        <v>268191919</v>
      </c>
      <c r="H200" s="6">
        <v>38438737</v>
      </c>
      <c r="I200" s="6">
        <f t="shared" si="3"/>
        <v>31</v>
      </c>
      <c r="J200" t="str" cm="1">
        <f t="array" ref="J200">_xlfn.IFS(
AND(I200&gt;=89,I200&lt;=92),"D-90",
AND(I200&gt;=58,I200&lt;=62),"D-60",
AND(I200&gt;=28,I200&lt;=32),"D-30",
AND(I200=0),"당월",
TRUE,"그외")</f>
        <v>D-30</v>
      </c>
    </row>
    <row r="201" spans="1:10" ht="17.649999999999999" customHeight="1" x14ac:dyDescent="0.3">
      <c r="A201" s="4">
        <v>45505</v>
      </c>
      <c r="B201" s="5" t="s">
        <v>12</v>
      </c>
      <c r="C201" s="4">
        <v>45505</v>
      </c>
      <c r="D201" s="5" t="s">
        <v>9</v>
      </c>
      <c r="E201" s="6">
        <v>296</v>
      </c>
      <c r="F201" s="6">
        <v>221780.40540540541</v>
      </c>
      <c r="G201" s="6">
        <v>65647000</v>
      </c>
      <c r="H201" s="6">
        <v>11850000</v>
      </c>
      <c r="I201" s="6">
        <f t="shared" si="3"/>
        <v>0</v>
      </c>
      <c r="J201" t="str" cm="1">
        <f t="array" ref="J201">_xlfn.IFS(
AND(I201&gt;=89,I201&lt;=92),"D-90",
AND(I201&gt;=58,I201&lt;=62),"D-60",
AND(I201&gt;=28,I201&lt;=32),"D-30",
AND(I201=0),"당월",
TRUE,"그외")</f>
        <v>당월</v>
      </c>
    </row>
    <row r="202" spans="1:10" ht="17.649999999999999" customHeight="1" x14ac:dyDescent="0.3">
      <c r="A202" s="4">
        <v>45505</v>
      </c>
      <c r="B202" s="5" t="s">
        <v>12</v>
      </c>
      <c r="C202" s="4">
        <v>45505</v>
      </c>
      <c r="D202" s="5" t="s">
        <v>10</v>
      </c>
      <c r="E202" s="6">
        <v>537</v>
      </c>
      <c r="F202" s="6">
        <v>205648.4711359404</v>
      </c>
      <c r="G202" s="6">
        <v>110433229</v>
      </c>
      <c r="H202" s="6">
        <v>20498263</v>
      </c>
      <c r="I202" s="6">
        <f t="shared" si="3"/>
        <v>0</v>
      </c>
      <c r="J202" t="str" cm="1">
        <f t="array" ref="J202">_xlfn.IFS(
AND(I202&gt;=89,I202&lt;=92),"D-90",
AND(I202&gt;=58,I202&lt;=62),"D-60",
AND(I202&gt;=28,I202&lt;=32),"D-30",
AND(I202=0),"당월",
TRUE,"그외")</f>
        <v>당월</v>
      </c>
    </row>
    <row r="203" spans="1:10" ht="17.649999999999999" customHeight="1" x14ac:dyDescent="0.3">
      <c r="A203" s="4">
        <v>45505</v>
      </c>
      <c r="B203" s="5" t="s">
        <v>13</v>
      </c>
      <c r="C203" s="4">
        <v>45352</v>
      </c>
      <c r="D203" s="5" t="s">
        <v>10</v>
      </c>
      <c r="E203" s="6">
        <v>371</v>
      </c>
      <c r="F203" s="6">
        <v>317513.21024258761</v>
      </c>
      <c r="G203" s="6">
        <v>117797401</v>
      </c>
      <c r="H203" s="6">
        <v>16264553</v>
      </c>
      <c r="I203" s="6">
        <f t="shared" si="3"/>
        <v>153</v>
      </c>
      <c r="J203" t="str" cm="1">
        <f t="array" ref="J203">_xlfn.IFS(
AND(I203&gt;=89,I203&lt;=92),"D-90",
AND(I203&gt;=58,I203&lt;=62),"D-60",
AND(I203&gt;=28,I203&lt;=32),"D-30",
AND(I203=0),"당월",
TRUE,"그외")</f>
        <v>그외</v>
      </c>
    </row>
    <row r="204" spans="1:10" ht="17.649999999999999" customHeight="1" x14ac:dyDescent="0.3">
      <c r="A204" s="4">
        <v>45505</v>
      </c>
      <c r="B204" s="5" t="s">
        <v>13</v>
      </c>
      <c r="C204" s="4">
        <v>45383</v>
      </c>
      <c r="D204" s="5" t="s">
        <v>9</v>
      </c>
      <c r="E204" s="6">
        <v>3</v>
      </c>
      <c r="F204" s="6">
        <v>313800</v>
      </c>
      <c r="G204" s="6">
        <v>941400</v>
      </c>
      <c r="H204" s="6">
        <v>131400</v>
      </c>
      <c r="I204" s="6">
        <f t="shared" si="3"/>
        <v>122</v>
      </c>
      <c r="J204" t="str" cm="1">
        <f t="array" ref="J204">_xlfn.IFS(
AND(I204&gt;=89,I204&lt;=92),"D-90",
AND(I204&gt;=58,I204&lt;=62),"D-60",
AND(I204&gt;=28,I204&lt;=32),"D-30",
AND(I204=0),"당월",
TRUE,"그외")</f>
        <v>그외</v>
      </c>
    </row>
    <row r="205" spans="1:10" ht="17.649999999999999" customHeight="1" x14ac:dyDescent="0.3">
      <c r="A205" s="4">
        <v>45505</v>
      </c>
      <c r="B205" s="5" t="s">
        <v>13</v>
      </c>
      <c r="C205" s="4">
        <v>45383</v>
      </c>
      <c r="D205" s="5" t="s">
        <v>10</v>
      </c>
      <c r="E205" s="6">
        <v>981</v>
      </c>
      <c r="F205" s="6">
        <v>289214.14882772678</v>
      </c>
      <c r="G205" s="6">
        <v>283719080</v>
      </c>
      <c r="H205" s="6">
        <v>42948506</v>
      </c>
      <c r="I205" s="6">
        <f t="shared" si="3"/>
        <v>122</v>
      </c>
      <c r="J205" t="str" cm="1">
        <f t="array" ref="J205">_xlfn.IFS(
AND(I205&gt;=89,I205&lt;=92),"D-90",
AND(I205&gt;=58,I205&lt;=62),"D-60",
AND(I205&gt;=28,I205&lt;=32),"D-30",
AND(I205=0),"당월",
TRUE,"그외")</f>
        <v>그외</v>
      </c>
    </row>
    <row r="206" spans="1:10" ht="17.649999999999999" customHeight="1" x14ac:dyDescent="0.3">
      <c r="A206" s="4">
        <v>45505</v>
      </c>
      <c r="B206" s="5" t="s">
        <v>13</v>
      </c>
      <c r="C206" s="4">
        <v>45413</v>
      </c>
      <c r="D206" s="5" t="s">
        <v>9</v>
      </c>
      <c r="E206" s="6">
        <v>652</v>
      </c>
      <c r="F206" s="6">
        <v>242489.26380368101</v>
      </c>
      <c r="G206" s="6">
        <v>158103000</v>
      </c>
      <c r="H206" s="6">
        <v>29014000</v>
      </c>
      <c r="I206" s="6">
        <f t="shared" si="3"/>
        <v>92</v>
      </c>
      <c r="J206" t="str" cm="1">
        <f t="array" ref="J206">_xlfn.IFS(
AND(I206&gt;=89,I206&lt;=92),"D-90",
AND(I206&gt;=58,I206&lt;=62),"D-60",
AND(I206&gt;=28,I206&lt;=32),"D-30",
AND(I206=0),"당월",
TRUE,"그외")</f>
        <v>D-90</v>
      </c>
    </row>
    <row r="207" spans="1:10" ht="17.649999999999999" customHeight="1" x14ac:dyDescent="0.3">
      <c r="A207" s="4">
        <v>45505</v>
      </c>
      <c r="B207" s="5" t="s">
        <v>13</v>
      </c>
      <c r="C207" s="4">
        <v>45413</v>
      </c>
      <c r="D207" s="5" t="s">
        <v>10</v>
      </c>
      <c r="E207" s="6">
        <v>2286</v>
      </c>
      <c r="F207" s="6">
        <v>258440.17366579181</v>
      </c>
      <c r="G207" s="6">
        <v>590794237</v>
      </c>
      <c r="H207" s="6">
        <v>101359248</v>
      </c>
      <c r="I207" s="6">
        <f t="shared" si="3"/>
        <v>92</v>
      </c>
      <c r="J207" t="str" cm="1">
        <f t="array" ref="J207">_xlfn.IFS(
AND(I207&gt;=89,I207&lt;=92),"D-90",
AND(I207&gt;=58,I207&lt;=62),"D-60",
AND(I207&gt;=28,I207&lt;=32),"D-30",
AND(I207=0),"당월",
TRUE,"그외")</f>
        <v>D-90</v>
      </c>
    </row>
    <row r="208" spans="1:10" ht="17.649999999999999" customHeight="1" x14ac:dyDescent="0.3">
      <c r="A208" s="4">
        <v>45505</v>
      </c>
      <c r="B208" s="5" t="s">
        <v>13</v>
      </c>
      <c r="C208" s="4">
        <v>45444</v>
      </c>
      <c r="D208" s="5" t="s">
        <v>9</v>
      </c>
      <c r="E208" s="6">
        <v>398</v>
      </c>
      <c r="F208" s="6">
        <v>244950.75376884421</v>
      </c>
      <c r="G208" s="6">
        <v>97490400</v>
      </c>
      <c r="H208" s="6">
        <v>15840400</v>
      </c>
      <c r="I208" s="6">
        <f t="shared" si="3"/>
        <v>61</v>
      </c>
      <c r="J208" t="str" cm="1">
        <f t="array" ref="J208">_xlfn.IFS(
AND(I208&gt;=89,I208&lt;=92),"D-90",
AND(I208&gt;=58,I208&lt;=62),"D-60",
AND(I208&gt;=28,I208&lt;=32),"D-30",
AND(I208=0),"당월",
TRUE,"그외")</f>
        <v>D-60</v>
      </c>
    </row>
    <row r="209" spans="1:10" ht="17.649999999999999" customHeight="1" x14ac:dyDescent="0.3">
      <c r="A209" s="4">
        <v>45505</v>
      </c>
      <c r="B209" s="5" t="s">
        <v>13</v>
      </c>
      <c r="C209" s="4">
        <v>45444</v>
      </c>
      <c r="D209" s="5" t="s">
        <v>10</v>
      </c>
      <c r="E209" s="6">
        <v>1822</v>
      </c>
      <c r="F209" s="6">
        <v>227579.1888035126</v>
      </c>
      <c r="G209" s="6">
        <v>414649282</v>
      </c>
      <c r="H209" s="6">
        <v>71497071</v>
      </c>
      <c r="I209" s="6">
        <f t="shared" si="3"/>
        <v>61</v>
      </c>
      <c r="J209" t="str" cm="1">
        <f t="array" ref="J209">_xlfn.IFS(
AND(I209&gt;=89,I209&lt;=92),"D-90",
AND(I209&gt;=58,I209&lt;=62),"D-60",
AND(I209&gt;=28,I209&lt;=32),"D-30",
AND(I209=0),"당월",
TRUE,"그외")</f>
        <v>D-60</v>
      </c>
    </row>
    <row r="210" spans="1:10" ht="17.649999999999999" customHeight="1" x14ac:dyDescent="0.3">
      <c r="A210" s="4">
        <v>45505</v>
      </c>
      <c r="B210" s="5" t="s">
        <v>13</v>
      </c>
      <c r="C210" s="4">
        <v>45474</v>
      </c>
      <c r="D210" s="5" t="s">
        <v>9</v>
      </c>
      <c r="E210" s="6">
        <v>629</v>
      </c>
      <c r="F210" s="6">
        <v>219162.63910969789</v>
      </c>
      <c r="G210" s="6">
        <v>137853300</v>
      </c>
      <c r="H210" s="6">
        <v>22401300</v>
      </c>
      <c r="I210" s="6">
        <f t="shared" si="3"/>
        <v>31</v>
      </c>
      <c r="J210" t="str" cm="1">
        <f t="array" ref="J210">_xlfn.IFS(
AND(I210&gt;=89,I210&lt;=92),"D-90",
AND(I210&gt;=58,I210&lt;=62),"D-60",
AND(I210&gt;=28,I210&lt;=32),"D-30",
AND(I210=0),"당월",
TRUE,"그외")</f>
        <v>D-30</v>
      </c>
    </row>
    <row r="211" spans="1:10" ht="17.649999999999999" customHeight="1" x14ac:dyDescent="0.3">
      <c r="A211" s="4">
        <v>45505</v>
      </c>
      <c r="B211" s="5" t="s">
        <v>13</v>
      </c>
      <c r="C211" s="4">
        <v>45474</v>
      </c>
      <c r="D211" s="5" t="s">
        <v>10</v>
      </c>
      <c r="E211" s="6">
        <v>2000</v>
      </c>
      <c r="F211" s="6">
        <v>234200.33050000001</v>
      </c>
      <c r="G211" s="6">
        <v>468400661</v>
      </c>
      <c r="H211" s="6">
        <v>70103381</v>
      </c>
      <c r="I211" s="6">
        <f t="shared" si="3"/>
        <v>31</v>
      </c>
      <c r="J211" t="str" cm="1">
        <f t="array" ref="J211">_xlfn.IFS(
AND(I211&gt;=89,I211&lt;=92),"D-90",
AND(I211&gt;=58,I211&lt;=62),"D-60",
AND(I211&gt;=28,I211&lt;=32),"D-30",
AND(I211=0),"당월",
TRUE,"그외")</f>
        <v>D-30</v>
      </c>
    </row>
    <row r="212" spans="1:10" ht="17.649999999999999" customHeight="1" x14ac:dyDescent="0.3">
      <c r="A212" s="4">
        <v>45505</v>
      </c>
      <c r="B212" s="5" t="s">
        <v>13</v>
      </c>
      <c r="C212" s="4">
        <v>45505</v>
      </c>
      <c r="D212" s="5" t="s">
        <v>9</v>
      </c>
      <c r="E212" s="6">
        <v>227</v>
      </c>
      <c r="F212" s="6">
        <v>193852.422907489</v>
      </c>
      <c r="G212" s="6">
        <v>44004500</v>
      </c>
      <c r="H212" s="6">
        <v>9092500</v>
      </c>
      <c r="I212" s="6">
        <f t="shared" si="3"/>
        <v>0</v>
      </c>
      <c r="J212" t="str" cm="1">
        <f t="array" ref="J212">_xlfn.IFS(
AND(I212&gt;=89,I212&lt;=92),"D-90",
AND(I212&gt;=58,I212&lt;=62),"D-60",
AND(I212&gt;=28,I212&lt;=32),"D-30",
AND(I212=0),"당월",
TRUE,"그외")</f>
        <v>당월</v>
      </c>
    </row>
    <row r="213" spans="1:10" ht="17.649999999999999" customHeight="1" x14ac:dyDescent="0.3">
      <c r="A213" s="4">
        <v>45505</v>
      </c>
      <c r="B213" s="5" t="s">
        <v>13</v>
      </c>
      <c r="C213" s="4">
        <v>45505</v>
      </c>
      <c r="D213" s="5" t="s">
        <v>10</v>
      </c>
      <c r="E213" s="6">
        <v>1318</v>
      </c>
      <c r="F213" s="6">
        <v>188120.36949924129</v>
      </c>
      <c r="G213" s="6">
        <v>247942647</v>
      </c>
      <c r="H213" s="6">
        <v>52010081</v>
      </c>
      <c r="I213" s="6">
        <f t="shared" si="3"/>
        <v>0</v>
      </c>
      <c r="J213" t="str" cm="1">
        <f t="array" ref="J213">_xlfn.IFS(
AND(I213&gt;=89,I213&lt;=92),"D-90",
AND(I213&gt;=58,I213&lt;=62),"D-60",
AND(I213&gt;=28,I213&lt;=32),"D-30",
AND(I213=0),"당월",
TRUE,"그외")</f>
        <v>당월</v>
      </c>
    </row>
    <row r="214" spans="1:10" ht="17.649999999999999" customHeight="1" x14ac:dyDescent="0.3">
      <c r="A214" s="4">
        <v>45536</v>
      </c>
      <c r="B214" s="5" t="s">
        <v>8</v>
      </c>
      <c r="C214" s="4">
        <v>45383</v>
      </c>
      <c r="D214" s="5" t="s">
        <v>9</v>
      </c>
      <c r="E214" s="6">
        <v>50</v>
      </c>
      <c r="F214" s="6">
        <v>465520</v>
      </c>
      <c r="G214" s="6">
        <v>23276000</v>
      </c>
      <c r="H214" s="6">
        <v>2190000</v>
      </c>
      <c r="I214" s="6">
        <f t="shared" si="3"/>
        <v>153</v>
      </c>
      <c r="J214" t="str" cm="1">
        <f t="array" ref="J214">_xlfn.IFS(
AND(I214&gt;=89,I214&lt;=92),"D-90",
AND(I214&gt;=58,I214&lt;=62),"D-60",
AND(I214&gt;=28,I214&lt;=32),"D-30",
AND(I214=0),"당월",
TRUE,"그외")</f>
        <v>그외</v>
      </c>
    </row>
    <row r="215" spans="1:10" ht="17.649999999999999" customHeight="1" x14ac:dyDescent="0.3">
      <c r="A215" s="4">
        <v>45536</v>
      </c>
      <c r="B215" s="5" t="s">
        <v>8</v>
      </c>
      <c r="C215" s="4">
        <v>45383</v>
      </c>
      <c r="D215" s="5" t="s">
        <v>10</v>
      </c>
      <c r="E215" s="6">
        <v>123</v>
      </c>
      <c r="F215" s="6">
        <v>267917.07317073172</v>
      </c>
      <c r="G215" s="6">
        <v>32953800</v>
      </c>
      <c r="H215" s="6">
        <v>5387400</v>
      </c>
      <c r="I215" s="6">
        <f t="shared" si="3"/>
        <v>153</v>
      </c>
      <c r="J215" t="str" cm="1">
        <f t="array" ref="J215">_xlfn.IFS(
AND(I215&gt;=89,I215&lt;=92),"D-90",
AND(I215&gt;=58,I215&lt;=62),"D-60",
AND(I215&gt;=28,I215&lt;=32),"D-30",
AND(I215=0),"당월",
TRUE,"그외")</f>
        <v>그외</v>
      </c>
    </row>
    <row r="216" spans="1:10" ht="17.649999999999999" customHeight="1" x14ac:dyDescent="0.3">
      <c r="A216" s="4">
        <v>45536</v>
      </c>
      <c r="B216" s="5" t="s">
        <v>8</v>
      </c>
      <c r="C216" s="4">
        <v>45413</v>
      </c>
      <c r="D216" s="5" t="s">
        <v>9</v>
      </c>
      <c r="E216" s="6">
        <v>220</v>
      </c>
      <c r="F216" s="6">
        <v>475000</v>
      </c>
      <c r="G216" s="6">
        <v>104500000</v>
      </c>
      <c r="H216" s="6">
        <v>9790000</v>
      </c>
      <c r="I216" s="6">
        <f t="shared" si="3"/>
        <v>123</v>
      </c>
      <c r="J216" t="str" cm="1">
        <f t="array" ref="J216">_xlfn.IFS(
AND(I216&gt;=89,I216&lt;=92),"D-90",
AND(I216&gt;=58,I216&lt;=62),"D-60",
AND(I216&gt;=28,I216&lt;=32),"D-30",
AND(I216=0),"당월",
TRUE,"그외")</f>
        <v>그외</v>
      </c>
    </row>
    <row r="217" spans="1:10" ht="17.649999999999999" customHeight="1" x14ac:dyDescent="0.3">
      <c r="A217" s="4">
        <v>45536</v>
      </c>
      <c r="B217" s="5" t="s">
        <v>8</v>
      </c>
      <c r="C217" s="4">
        <v>45413</v>
      </c>
      <c r="D217" s="5" t="s">
        <v>10</v>
      </c>
      <c r="E217" s="6">
        <v>217</v>
      </c>
      <c r="F217" s="6">
        <v>255407.61751152069</v>
      </c>
      <c r="G217" s="6">
        <v>55423453</v>
      </c>
      <c r="H217" s="6">
        <v>9656553</v>
      </c>
      <c r="I217" s="6">
        <f t="shared" si="3"/>
        <v>123</v>
      </c>
      <c r="J217" t="str" cm="1">
        <f t="array" ref="J217">_xlfn.IFS(
AND(I217&gt;=89,I217&lt;=92),"D-90",
AND(I217&gt;=58,I217&lt;=62),"D-60",
AND(I217&gt;=28,I217&lt;=32),"D-30",
AND(I217=0),"당월",
TRUE,"그외")</f>
        <v>그외</v>
      </c>
    </row>
    <row r="218" spans="1:10" ht="17.649999999999999" customHeight="1" x14ac:dyDescent="0.3">
      <c r="A218" s="4">
        <v>45536</v>
      </c>
      <c r="B218" s="5" t="s">
        <v>8</v>
      </c>
      <c r="C218" s="4">
        <v>45444</v>
      </c>
      <c r="D218" s="5" t="s">
        <v>9</v>
      </c>
      <c r="E218" s="6">
        <v>665</v>
      </c>
      <c r="F218" s="6">
        <v>110810.5263157895</v>
      </c>
      <c r="G218" s="6">
        <v>73689000</v>
      </c>
      <c r="H218" s="6">
        <v>26467000</v>
      </c>
      <c r="I218" s="6">
        <f t="shared" si="3"/>
        <v>92</v>
      </c>
      <c r="J218" t="str" cm="1">
        <f t="array" ref="J218">_xlfn.IFS(
AND(I218&gt;=89,I218&lt;=92),"D-90",
AND(I218&gt;=58,I218&lt;=62),"D-60",
AND(I218&gt;=28,I218&lt;=32),"D-30",
AND(I218=0),"당월",
TRUE,"그외")</f>
        <v>D-90</v>
      </c>
    </row>
    <row r="219" spans="1:10" ht="17.649999999999999" customHeight="1" x14ac:dyDescent="0.3">
      <c r="A219" s="4">
        <v>45536</v>
      </c>
      <c r="B219" s="5" t="s">
        <v>8</v>
      </c>
      <c r="C219" s="4">
        <v>45444</v>
      </c>
      <c r="D219" s="5" t="s">
        <v>10</v>
      </c>
      <c r="E219" s="6">
        <v>440</v>
      </c>
      <c r="F219" s="6">
        <v>183495.47272727269</v>
      </c>
      <c r="G219" s="6">
        <v>80738008</v>
      </c>
      <c r="H219" s="6">
        <v>17157972</v>
      </c>
      <c r="I219" s="6">
        <f t="shared" si="3"/>
        <v>92</v>
      </c>
      <c r="J219" t="str" cm="1">
        <f t="array" ref="J219">_xlfn.IFS(
AND(I219&gt;=89,I219&lt;=92),"D-90",
AND(I219&gt;=58,I219&lt;=62),"D-60",
AND(I219&gt;=28,I219&lt;=32),"D-30",
AND(I219=0),"당월",
TRUE,"그외")</f>
        <v>D-90</v>
      </c>
    </row>
    <row r="220" spans="1:10" ht="17.649999999999999" customHeight="1" x14ac:dyDescent="0.3">
      <c r="A220" s="4">
        <v>45536</v>
      </c>
      <c r="B220" s="5" t="s">
        <v>8</v>
      </c>
      <c r="C220" s="4">
        <v>45474</v>
      </c>
      <c r="D220" s="5" t="s">
        <v>9</v>
      </c>
      <c r="E220" s="6">
        <v>1842</v>
      </c>
      <c r="F220" s="6">
        <v>118480.2388707926</v>
      </c>
      <c r="G220" s="6">
        <v>218240600</v>
      </c>
      <c r="H220" s="6">
        <v>65583600</v>
      </c>
      <c r="I220" s="6">
        <f t="shared" si="3"/>
        <v>62</v>
      </c>
      <c r="J220" t="str" cm="1">
        <f t="array" ref="J220">_xlfn.IFS(
AND(I220&gt;=89,I220&lt;=92),"D-90",
AND(I220&gt;=58,I220&lt;=62),"D-60",
AND(I220&gt;=28,I220&lt;=32),"D-30",
AND(I220=0),"당월",
TRUE,"그외")</f>
        <v>D-60</v>
      </c>
    </row>
    <row r="221" spans="1:10" ht="17.649999999999999" customHeight="1" x14ac:dyDescent="0.3">
      <c r="A221" s="4">
        <v>45536</v>
      </c>
      <c r="B221" s="5" t="s">
        <v>8</v>
      </c>
      <c r="C221" s="4">
        <v>45474</v>
      </c>
      <c r="D221" s="5" t="s">
        <v>10</v>
      </c>
      <c r="E221" s="6">
        <v>678</v>
      </c>
      <c r="F221" s="6">
        <v>165131.4970501475</v>
      </c>
      <c r="G221" s="6">
        <v>111959155</v>
      </c>
      <c r="H221" s="6">
        <v>23755764</v>
      </c>
      <c r="I221" s="6">
        <f t="shared" si="3"/>
        <v>62</v>
      </c>
      <c r="J221" t="str" cm="1">
        <f t="array" ref="J221">_xlfn.IFS(
AND(I221&gt;=89,I221&lt;=92),"D-90",
AND(I221&gt;=58,I221&lt;=62),"D-60",
AND(I221&gt;=28,I221&lt;=32),"D-30",
AND(I221=0),"당월",
TRUE,"그외")</f>
        <v>D-60</v>
      </c>
    </row>
    <row r="222" spans="1:10" ht="17.649999999999999" customHeight="1" x14ac:dyDescent="0.3">
      <c r="A222" s="4">
        <v>45536</v>
      </c>
      <c r="B222" s="5" t="s">
        <v>8</v>
      </c>
      <c r="C222" s="4">
        <v>45505</v>
      </c>
      <c r="D222" s="5" t="s">
        <v>9</v>
      </c>
      <c r="E222" s="6">
        <v>1874</v>
      </c>
      <c r="F222" s="6">
        <v>351092.84951974388</v>
      </c>
      <c r="G222" s="6">
        <v>657948000</v>
      </c>
      <c r="H222" s="6">
        <v>73693000</v>
      </c>
      <c r="I222" s="6">
        <f t="shared" si="3"/>
        <v>31</v>
      </c>
      <c r="J222" t="str" cm="1">
        <f t="array" ref="J222">_xlfn.IFS(
AND(I222&gt;=89,I222&lt;=92),"D-90",
AND(I222&gt;=58,I222&lt;=62),"D-60",
AND(I222&gt;=28,I222&lt;=32),"D-30",
AND(I222=0),"당월",
TRUE,"그외")</f>
        <v>D-30</v>
      </c>
    </row>
    <row r="223" spans="1:10" ht="17.649999999999999" customHeight="1" x14ac:dyDescent="0.3">
      <c r="A223" s="4">
        <v>45536</v>
      </c>
      <c r="B223" s="5" t="s">
        <v>8</v>
      </c>
      <c r="C223" s="4">
        <v>45505</v>
      </c>
      <c r="D223" s="5" t="s">
        <v>10</v>
      </c>
      <c r="E223" s="6">
        <v>1265</v>
      </c>
      <c r="F223" s="6">
        <v>165406.66403162049</v>
      </c>
      <c r="G223" s="6">
        <v>209239430</v>
      </c>
      <c r="H223" s="6">
        <v>48496485</v>
      </c>
      <c r="I223" s="6">
        <f t="shared" si="3"/>
        <v>31</v>
      </c>
      <c r="J223" t="str" cm="1">
        <f t="array" ref="J223">_xlfn.IFS(
AND(I223&gt;=89,I223&lt;=92),"D-90",
AND(I223&gt;=58,I223&lt;=62),"D-60",
AND(I223&gt;=28,I223&lt;=32),"D-30",
AND(I223=0),"당월",
TRUE,"그외")</f>
        <v>D-30</v>
      </c>
    </row>
    <row r="224" spans="1:10" ht="17.649999999999999" customHeight="1" x14ac:dyDescent="0.3">
      <c r="A224" s="4">
        <v>45536</v>
      </c>
      <c r="B224" s="5" t="s">
        <v>8</v>
      </c>
      <c r="C224" s="4">
        <v>45536</v>
      </c>
      <c r="D224" s="5" t="s">
        <v>9</v>
      </c>
      <c r="E224" s="6">
        <v>2152</v>
      </c>
      <c r="F224" s="6">
        <v>86311.802973977698</v>
      </c>
      <c r="G224" s="6">
        <v>185743000</v>
      </c>
      <c r="H224" s="6">
        <v>77082000</v>
      </c>
      <c r="I224" s="6">
        <f t="shared" si="3"/>
        <v>0</v>
      </c>
      <c r="J224" t="str" cm="1">
        <f t="array" ref="J224">_xlfn.IFS(
AND(I224&gt;=89,I224&lt;=92),"D-90",
AND(I224&gt;=58,I224&lt;=62),"D-60",
AND(I224&gt;=28,I224&lt;=32),"D-30",
AND(I224=0),"당월",
TRUE,"그외")</f>
        <v>당월</v>
      </c>
    </row>
    <row r="225" spans="1:10" ht="17.649999999999999" customHeight="1" x14ac:dyDescent="0.3">
      <c r="A225" s="4">
        <v>45536</v>
      </c>
      <c r="B225" s="5" t="s">
        <v>8</v>
      </c>
      <c r="C225" s="4">
        <v>45536</v>
      </c>
      <c r="D225" s="5" t="s">
        <v>10</v>
      </c>
      <c r="E225" s="6">
        <v>661</v>
      </c>
      <c r="F225" s="6">
        <v>173198.47201210289</v>
      </c>
      <c r="G225" s="6">
        <v>114484190</v>
      </c>
      <c r="H225" s="6">
        <v>22509980</v>
      </c>
      <c r="I225" s="6">
        <f t="shared" si="3"/>
        <v>0</v>
      </c>
      <c r="J225" t="str" cm="1">
        <f t="array" ref="J225">_xlfn.IFS(
AND(I225&gt;=89,I225&lt;=92),"D-90",
AND(I225&gt;=58,I225&lt;=62),"D-60",
AND(I225&gt;=28,I225&lt;=32),"D-30",
AND(I225=0),"당월",
TRUE,"그외")</f>
        <v>당월</v>
      </c>
    </row>
    <row r="226" spans="1:10" ht="17.649999999999999" customHeight="1" x14ac:dyDescent="0.3">
      <c r="A226" s="4">
        <v>45536</v>
      </c>
      <c r="B226" s="5" t="s">
        <v>11</v>
      </c>
      <c r="C226" s="4">
        <v>45383</v>
      </c>
      <c r="D226" s="5" t="s">
        <v>10</v>
      </c>
      <c r="E226" s="6">
        <v>149</v>
      </c>
      <c r="F226" s="6">
        <v>191281.87919463089</v>
      </c>
      <c r="G226" s="6">
        <v>28501000</v>
      </c>
      <c r="H226" s="6">
        <v>6526200</v>
      </c>
      <c r="I226" s="6">
        <f t="shared" si="3"/>
        <v>153</v>
      </c>
      <c r="J226" t="str" cm="1">
        <f t="array" ref="J226">_xlfn.IFS(
AND(I226&gt;=89,I226&lt;=92),"D-90",
AND(I226&gt;=58,I226&lt;=62),"D-60",
AND(I226&gt;=28,I226&lt;=32),"D-30",
AND(I226=0),"당월",
TRUE,"그외")</f>
        <v>그외</v>
      </c>
    </row>
    <row r="227" spans="1:10" ht="17.649999999999999" customHeight="1" x14ac:dyDescent="0.3">
      <c r="A227" s="4">
        <v>45536</v>
      </c>
      <c r="B227" s="5" t="s">
        <v>11</v>
      </c>
      <c r="C227" s="4">
        <v>45413</v>
      </c>
      <c r="D227" s="5" t="s">
        <v>10</v>
      </c>
      <c r="E227" s="6">
        <v>340</v>
      </c>
      <c r="F227" s="6">
        <v>213370.33529411771</v>
      </c>
      <c r="G227" s="6">
        <v>72545914</v>
      </c>
      <c r="H227" s="6">
        <v>15123710</v>
      </c>
      <c r="I227" s="6">
        <f t="shared" si="3"/>
        <v>123</v>
      </c>
      <c r="J227" t="str" cm="1">
        <f t="array" ref="J227">_xlfn.IFS(
AND(I227&gt;=89,I227&lt;=92),"D-90",
AND(I227&gt;=58,I227&lt;=62),"D-60",
AND(I227&gt;=28,I227&lt;=32),"D-30",
AND(I227=0),"당월",
TRUE,"그외")</f>
        <v>그외</v>
      </c>
    </row>
    <row r="228" spans="1:10" ht="17.649999999999999" customHeight="1" x14ac:dyDescent="0.3">
      <c r="A228" s="4">
        <v>45536</v>
      </c>
      <c r="B228" s="5" t="s">
        <v>11</v>
      </c>
      <c r="C228" s="4">
        <v>45444</v>
      </c>
      <c r="D228" s="5" t="s">
        <v>9</v>
      </c>
      <c r="E228" s="6">
        <v>236</v>
      </c>
      <c r="F228" s="6">
        <v>152172.88135593219</v>
      </c>
      <c r="G228" s="6">
        <v>35912800</v>
      </c>
      <c r="H228" s="6">
        <v>9392800</v>
      </c>
      <c r="I228" s="6">
        <f t="shared" si="3"/>
        <v>92</v>
      </c>
      <c r="J228" t="str" cm="1">
        <f t="array" ref="J228">_xlfn.IFS(
AND(I228&gt;=89,I228&lt;=92),"D-90",
AND(I228&gt;=58,I228&lt;=62),"D-60",
AND(I228&gt;=28,I228&lt;=32),"D-30",
AND(I228=0),"당월",
TRUE,"그외")</f>
        <v>D-90</v>
      </c>
    </row>
    <row r="229" spans="1:10" ht="17.649999999999999" customHeight="1" x14ac:dyDescent="0.3">
      <c r="A229" s="4">
        <v>45536</v>
      </c>
      <c r="B229" s="5" t="s">
        <v>11</v>
      </c>
      <c r="C229" s="4">
        <v>45444</v>
      </c>
      <c r="D229" s="5" t="s">
        <v>10</v>
      </c>
      <c r="E229" s="6">
        <v>451</v>
      </c>
      <c r="F229" s="6">
        <v>185631.75831485589</v>
      </c>
      <c r="G229" s="6">
        <v>83719923</v>
      </c>
      <c r="H229" s="6">
        <v>17955877</v>
      </c>
      <c r="I229" s="6">
        <f t="shared" si="3"/>
        <v>92</v>
      </c>
      <c r="J229" t="str" cm="1">
        <f t="array" ref="J229">_xlfn.IFS(
AND(I229&gt;=89,I229&lt;=92),"D-90",
AND(I229&gt;=58,I229&lt;=62),"D-60",
AND(I229&gt;=28,I229&lt;=32),"D-30",
AND(I229=0),"당월",
TRUE,"그외")</f>
        <v>D-90</v>
      </c>
    </row>
    <row r="230" spans="1:10" ht="17.649999999999999" customHeight="1" x14ac:dyDescent="0.3">
      <c r="A230" s="4">
        <v>45536</v>
      </c>
      <c r="B230" s="5" t="s">
        <v>11</v>
      </c>
      <c r="C230" s="4">
        <v>45474</v>
      </c>
      <c r="D230" s="5" t="s">
        <v>9</v>
      </c>
      <c r="E230" s="6">
        <v>851</v>
      </c>
      <c r="F230" s="6">
        <v>185636.89776733259</v>
      </c>
      <c r="G230" s="6">
        <v>157977000</v>
      </c>
      <c r="H230" s="6">
        <v>30304000</v>
      </c>
      <c r="I230" s="6">
        <f t="shared" si="3"/>
        <v>62</v>
      </c>
      <c r="J230" t="str" cm="1">
        <f t="array" ref="J230">_xlfn.IFS(
AND(I230&gt;=89,I230&lt;=92),"D-90",
AND(I230&gt;=58,I230&lt;=62),"D-60",
AND(I230&gt;=28,I230&lt;=32),"D-30",
AND(I230=0),"당월",
TRUE,"그외")</f>
        <v>D-60</v>
      </c>
    </row>
    <row r="231" spans="1:10" ht="17.649999999999999" customHeight="1" x14ac:dyDescent="0.3">
      <c r="A231" s="4">
        <v>45536</v>
      </c>
      <c r="B231" s="5" t="s">
        <v>11</v>
      </c>
      <c r="C231" s="4">
        <v>45474</v>
      </c>
      <c r="D231" s="5" t="s">
        <v>10</v>
      </c>
      <c r="E231" s="6">
        <v>1848</v>
      </c>
      <c r="F231" s="6">
        <v>162194.7002164502</v>
      </c>
      <c r="G231" s="6">
        <v>299735806</v>
      </c>
      <c r="H231" s="6">
        <v>66007868</v>
      </c>
      <c r="I231" s="6">
        <f t="shared" si="3"/>
        <v>62</v>
      </c>
      <c r="J231" t="str" cm="1">
        <f t="array" ref="J231">_xlfn.IFS(
AND(I231&gt;=89,I231&lt;=92),"D-90",
AND(I231&gt;=58,I231&lt;=62),"D-60",
AND(I231&gt;=28,I231&lt;=32),"D-30",
AND(I231=0),"당월",
TRUE,"그외")</f>
        <v>D-60</v>
      </c>
    </row>
    <row r="232" spans="1:10" ht="17.649999999999999" customHeight="1" x14ac:dyDescent="0.3">
      <c r="A232" s="4">
        <v>45536</v>
      </c>
      <c r="B232" s="5" t="s">
        <v>11</v>
      </c>
      <c r="C232" s="4">
        <v>45505</v>
      </c>
      <c r="D232" s="5" t="s">
        <v>9</v>
      </c>
      <c r="E232" s="6">
        <v>1490</v>
      </c>
      <c r="F232" s="6">
        <v>230380.87248322149</v>
      </c>
      <c r="G232" s="6">
        <v>343267500</v>
      </c>
      <c r="H232" s="6">
        <v>59735500</v>
      </c>
      <c r="I232" s="6">
        <f t="shared" si="3"/>
        <v>31</v>
      </c>
      <c r="J232" t="str" cm="1">
        <f t="array" ref="J232">_xlfn.IFS(
AND(I232&gt;=89,I232&lt;=92),"D-90",
AND(I232&gt;=58,I232&lt;=62),"D-60",
AND(I232&gt;=28,I232&lt;=32),"D-30",
AND(I232=0),"당월",
TRUE,"그외")</f>
        <v>D-30</v>
      </c>
    </row>
    <row r="233" spans="1:10" ht="17.649999999999999" customHeight="1" x14ac:dyDescent="0.3">
      <c r="A233" s="4">
        <v>45536</v>
      </c>
      <c r="B233" s="5" t="s">
        <v>11</v>
      </c>
      <c r="C233" s="4">
        <v>45505</v>
      </c>
      <c r="D233" s="5" t="s">
        <v>10</v>
      </c>
      <c r="E233" s="6">
        <v>2690</v>
      </c>
      <c r="F233" s="6">
        <v>173638.950929368</v>
      </c>
      <c r="G233" s="6">
        <v>467088778</v>
      </c>
      <c r="H233" s="6">
        <v>107482556</v>
      </c>
      <c r="I233" s="6">
        <f t="shared" si="3"/>
        <v>31</v>
      </c>
      <c r="J233" t="str" cm="1">
        <f t="array" ref="J233">_xlfn.IFS(
AND(I233&gt;=89,I233&lt;=92),"D-90",
AND(I233&gt;=58,I233&lt;=62),"D-60",
AND(I233&gt;=28,I233&lt;=32),"D-30",
AND(I233=0),"당월",
TRUE,"그외")</f>
        <v>D-30</v>
      </c>
    </row>
    <row r="234" spans="1:10" ht="17.649999999999999" customHeight="1" x14ac:dyDescent="0.3">
      <c r="A234" s="4">
        <v>45536</v>
      </c>
      <c r="B234" s="5" t="s">
        <v>11</v>
      </c>
      <c r="C234" s="4">
        <v>45536</v>
      </c>
      <c r="D234" s="5" t="s">
        <v>9</v>
      </c>
      <c r="E234" s="6">
        <v>330</v>
      </c>
      <c r="F234" s="6">
        <v>169011.51515151511</v>
      </c>
      <c r="G234" s="6">
        <v>55773800</v>
      </c>
      <c r="H234" s="6">
        <v>11812800</v>
      </c>
      <c r="I234" s="6">
        <f t="shared" si="3"/>
        <v>0</v>
      </c>
      <c r="J234" t="str" cm="1">
        <f t="array" ref="J234">_xlfn.IFS(
AND(I234&gt;=89,I234&lt;=92),"D-90",
AND(I234&gt;=58,I234&lt;=62),"D-60",
AND(I234&gt;=28,I234&lt;=32),"D-30",
AND(I234=0),"당월",
TRUE,"그외")</f>
        <v>당월</v>
      </c>
    </row>
    <row r="235" spans="1:10" ht="17.649999999999999" customHeight="1" x14ac:dyDescent="0.3">
      <c r="A235" s="4">
        <v>45536</v>
      </c>
      <c r="B235" s="5" t="s">
        <v>11</v>
      </c>
      <c r="C235" s="4">
        <v>45536</v>
      </c>
      <c r="D235" s="5" t="s">
        <v>10</v>
      </c>
      <c r="E235" s="6">
        <v>1103</v>
      </c>
      <c r="F235" s="6">
        <v>178842.06799637349</v>
      </c>
      <c r="G235" s="6">
        <v>197262801</v>
      </c>
      <c r="H235" s="6">
        <v>39445278</v>
      </c>
      <c r="I235" s="6">
        <f t="shared" si="3"/>
        <v>0</v>
      </c>
      <c r="J235" t="str" cm="1">
        <f t="array" ref="J235">_xlfn.IFS(
AND(I235&gt;=89,I235&lt;=92),"D-90",
AND(I235&gt;=58,I235&lt;=62),"D-60",
AND(I235&gt;=28,I235&lt;=32),"D-30",
AND(I235=0),"당월",
TRUE,"그외")</f>
        <v>당월</v>
      </c>
    </row>
    <row r="236" spans="1:10" ht="17.649999999999999" customHeight="1" x14ac:dyDescent="0.3">
      <c r="A236" s="4">
        <v>45536</v>
      </c>
      <c r="B236" s="5" t="s">
        <v>12</v>
      </c>
      <c r="C236" s="4">
        <v>45383</v>
      </c>
      <c r="D236" s="5" t="s">
        <v>10</v>
      </c>
      <c r="E236" s="6">
        <v>58</v>
      </c>
      <c r="F236" s="6">
        <v>135050.41379310339</v>
      </c>
      <c r="G236" s="6">
        <v>7832924</v>
      </c>
      <c r="H236" s="6">
        <v>2540924</v>
      </c>
      <c r="I236" s="6">
        <f t="shared" si="3"/>
        <v>153</v>
      </c>
      <c r="J236" t="str" cm="1">
        <f t="array" ref="J236">_xlfn.IFS(
AND(I236&gt;=89,I236&lt;=92),"D-90",
AND(I236&gt;=58,I236&lt;=62),"D-60",
AND(I236&gt;=28,I236&lt;=32),"D-30",
AND(I236=0),"당월",
TRUE,"그외")</f>
        <v>그외</v>
      </c>
    </row>
    <row r="237" spans="1:10" ht="17.649999999999999" customHeight="1" x14ac:dyDescent="0.3">
      <c r="A237" s="4">
        <v>45536</v>
      </c>
      <c r="B237" s="5" t="s">
        <v>12</v>
      </c>
      <c r="C237" s="4">
        <v>45413</v>
      </c>
      <c r="D237" s="5" t="s">
        <v>9</v>
      </c>
      <c r="E237" s="6">
        <v>16</v>
      </c>
      <c r="F237" s="6">
        <v>414625</v>
      </c>
      <c r="G237" s="6">
        <v>6634000</v>
      </c>
      <c r="H237" s="6">
        <v>712000</v>
      </c>
      <c r="I237" s="6">
        <f t="shared" si="3"/>
        <v>123</v>
      </c>
      <c r="J237" t="str" cm="1">
        <f t="array" ref="J237">_xlfn.IFS(
AND(I237&gt;=89,I237&lt;=92),"D-90",
AND(I237&gt;=58,I237&lt;=62),"D-60",
AND(I237&gt;=28,I237&lt;=32),"D-30",
AND(I237=0),"당월",
TRUE,"그외")</f>
        <v>그외</v>
      </c>
    </row>
    <row r="238" spans="1:10" ht="17.649999999999999" customHeight="1" x14ac:dyDescent="0.3">
      <c r="A238" s="4">
        <v>45536</v>
      </c>
      <c r="B238" s="5" t="s">
        <v>12</v>
      </c>
      <c r="C238" s="4">
        <v>45413</v>
      </c>
      <c r="D238" s="5" t="s">
        <v>10</v>
      </c>
      <c r="E238" s="6">
        <v>134</v>
      </c>
      <c r="F238" s="6">
        <v>284365.67164179112</v>
      </c>
      <c r="G238" s="6">
        <v>38105000</v>
      </c>
      <c r="H238" s="6">
        <v>5956200</v>
      </c>
      <c r="I238" s="6">
        <f t="shared" si="3"/>
        <v>123</v>
      </c>
      <c r="J238" t="str" cm="1">
        <f t="array" ref="J238">_xlfn.IFS(
AND(I238&gt;=89,I238&lt;=92),"D-90",
AND(I238&gt;=58,I238&lt;=62),"D-60",
AND(I238&gt;=28,I238&lt;=32),"D-30",
AND(I238=0),"당월",
TRUE,"그외")</f>
        <v>그외</v>
      </c>
    </row>
    <row r="239" spans="1:10" ht="17.649999999999999" customHeight="1" x14ac:dyDescent="0.3">
      <c r="A239" s="4">
        <v>45536</v>
      </c>
      <c r="B239" s="5" t="s">
        <v>12</v>
      </c>
      <c r="C239" s="4">
        <v>45444</v>
      </c>
      <c r="D239" s="5" t="s">
        <v>9</v>
      </c>
      <c r="E239" s="6">
        <v>163</v>
      </c>
      <c r="F239" s="6">
        <v>196119.01840490801</v>
      </c>
      <c r="G239" s="6">
        <v>31967400</v>
      </c>
      <c r="H239" s="6">
        <v>6487400</v>
      </c>
      <c r="I239" s="6">
        <f t="shared" si="3"/>
        <v>92</v>
      </c>
      <c r="J239" t="str" cm="1">
        <f t="array" ref="J239">_xlfn.IFS(
AND(I239&gt;=89,I239&lt;=92),"D-90",
AND(I239&gt;=58,I239&lt;=62),"D-60",
AND(I239&gt;=28,I239&lt;=32),"D-30",
AND(I239=0),"당월",
TRUE,"그외")</f>
        <v>D-90</v>
      </c>
    </row>
    <row r="240" spans="1:10" ht="17.649999999999999" customHeight="1" x14ac:dyDescent="0.3">
      <c r="A240" s="4">
        <v>45536</v>
      </c>
      <c r="B240" s="5" t="s">
        <v>12</v>
      </c>
      <c r="C240" s="4">
        <v>45444</v>
      </c>
      <c r="D240" s="5" t="s">
        <v>10</v>
      </c>
      <c r="E240" s="6">
        <v>137</v>
      </c>
      <c r="F240" s="6">
        <v>225146.45255474449</v>
      </c>
      <c r="G240" s="6">
        <v>30845064</v>
      </c>
      <c r="H240" s="6">
        <v>5365458</v>
      </c>
      <c r="I240" s="6">
        <f t="shared" si="3"/>
        <v>92</v>
      </c>
      <c r="J240" t="str" cm="1">
        <f t="array" ref="J240">_xlfn.IFS(
AND(I240&gt;=89,I240&lt;=92),"D-90",
AND(I240&gt;=58,I240&lt;=62),"D-60",
AND(I240&gt;=28,I240&lt;=32),"D-30",
AND(I240=0),"당월",
TRUE,"그외")</f>
        <v>D-90</v>
      </c>
    </row>
    <row r="241" spans="1:10" ht="17.649999999999999" customHeight="1" x14ac:dyDescent="0.3">
      <c r="A241" s="4">
        <v>45536</v>
      </c>
      <c r="B241" s="5" t="s">
        <v>12</v>
      </c>
      <c r="C241" s="4">
        <v>45474</v>
      </c>
      <c r="D241" s="5" t="s">
        <v>9</v>
      </c>
      <c r="E241" s="6">
        <v>301</v>
      </c>
      <c r="F241" s="6">
        <v>207461.12956810629</v>
      </c>
      <c r="G241" s="6">
        <v>62445800</v>
      </c>
      <c r="H241" s="6">
        <v>10719800</v>
      </c>
      <c r="I241" s="6">
        <f t="shared" si="3"/>
        <v>62</v>
      </c>
      <c r="J241" t="str" cm="1">
        <f t="array" ref="J241">_xlfn.IFS(
AND(I241&gt;=89,I241&lt;=92),"D-90",
AND(I241&gt;=58,I241&lt;=62),"D-60",
AND(I241&gt;=28,I241&lt;=32),"D-30",
AND(I241=0),"당월",
TRUE,"그외")</f>
        <v>D-60</v>
      </c>
    </row>
    <row r="242" spans="1:10" ht="17.649999999999999" customHeight="1" x14ac:dyDescent="0.3">
      <c r="A242" s="4">
        <v>45536</v>
      </c>
      <c r="B242" s="5" t="s">
        <v>12</v>
      </c>
      <c r="C242" s="4">
        <v>45474</v>
      </c>
      <c r="D242" s="5" t="s">
        <v>10</v>
      </c>
      <c r="E242" s="6">
        <v>520</v>
      </c>
      <c r="F242" s="6">
        <v>206276.30576923079</v>
      </c>
      <c r="G242" s="6">
        <v>107263679</v>
      </c>
      <c r="H242" s="6">
        <v>18396219</v>
      </c>
      <c r="I242" s="6">
        <f t="shared" si="3"/>
        <v>62</v>
      </c>
      <c r="J242" t="str" cm="1">
        <f t="array" ref="J242">_xlfn.IFS(
AND(I242&gt;=89,I242&lt;=92),"D-90",
AND(I242&gt;=58,I242&lt;=62),"D-60",
AND(I242&gt;=28,I242&lt;=32),"D-30",
AND(I242=0),"당월",
TRUE,"그외")</f>
        <v>D-60</v>
      </c>
    </row>
    <row r="243" spans="1:10" ht="17.649999999999999" customHeight="1" x14ac:dyDescent="0.3">
      <c r="A243" s="4">
        <v>45536</v>
      </c>
      <c r="B243" s="5" t="s">
        <v>12</v>
      </c>
      <c r="C243" s="4">
        <v>45505</v>
      </c>
      <c r="D243" s="5" t="s">
        <v>9</v>
      </c>
      <c r="E243" s="6">
        <v>1174</v>
      </c>
      <c r="F243" s="6">
        <v>243799.9148211244</v>
      </c>
      <c r="G243" s="6">
        <v>286221100</v>
      </c>
      <c r="H243" s="6">
        <v>47077100</v>
      </c>
      <c r="I243" s="6">
        <f t="shared" si="3"/>
        <v>31</v>
      </c>
      <c r="J243" t="str" cm="1">
        <f t="array" ref="J243">_xlfn.IFS(
AND(I243&gt;=89,I243&lt;=92),"D-90",
AND(I243&gt;=58,I243&lt;=62),"D-60",
AND(I243&gt;=28,I243&lt;=32),"D-30",
AND(I243=0),"당월",
TRUE,"그외")</f>
        <v>D-30</v>
      </c>
    </row>
    <row r="244" spans="1:10" ht="17.649999999999999" customHeight="1" x14ac:dyDescent="0.3">
      <c r="A244" s="4">
        <v>45536</v>
      </c>
      <c r="B244" s="5" t="s">
        <v>12</v>
      </c>
      <c r="C244" s="4">
        <v>45505</v>
      </c>
      <c r="D244" s="5" t="s">
        <v>10</v>
      </c>
      <c r="E244" s="6">
        <v>1734</v>
      </c>
      <c r="F244" s="6">
        <v>165223.30219146481</v>
      </c>
      <c r="G244" s="6">
        <v>286497206</v>
      </c>
      <c r="H244" s="6">
        <v>68208640</v>
      </c>
      <c r="I244" s="6">
        <f t="shared" si="3"/>
        <v>31</v>
      </c>
      <c r="J244" t="str" cm="1">
        <f t="array" ref="J244">_xlfn.IFS(
AND(I244&gt;=89,I244&lt;=92),"D-90",
AND(I244&gt;=58,I244&lt;=62),"D-60",
AND(I244&gt;=28,I244&lt;=32),"D-30",
AND(I244=0),"당월",
TRUE,"그외")</f>
        <v>D-30</v>
      </c>
    </row>
    <row r="245" spans="1:10" ht="17.649999999999999" customHeight="1" x14ac:dyDescent="0.3">
      <c r="A245" s="4">
        <v>45536</v>
      </c>
      <c r="B245" s="5" t="s">
        <v>12</v>
      </c>
      <c r="C245" s="4">
        <v>45536</v>
      </c>
      <c r="D245" s="5" t="s">
        <v>9</v>
      </c>
      <c r="E245" s="6">
        <v>750</v>
      </c>
      <c r="F245" s="6">
        <v>142373.73333333331</v>
      </c>
      <c r="G245" s="6">
        <v>106780300</v>
      </c>
      <c r="H245" s="6">
        <v>26871300</v>
      </c>
      <c r="I245" s="6">
        <f t="shared" si="3"/>
        <v>0</v>
      </c>
      <c r="J245" t="str" cm="1">
        <f t="array" ref="J245">_xlfn.IFS(
AND(I245&gt;=89,I245&lt;=92),"D-90",
AND(I245&gt;=58,I245&lt;=62),"D-60",
AND(I245&gt;=28,I245&lt;=32),"D-30",
AND(I245=0),"당월",
TRUE,"그외")</f>
        <v>당월</v>
      </c>
    </row>
    <row r="246" spans="1:10" ht="17.649999999999999" customHeight="1" x14ac:dyDescent="0.3">
      <c r="A246" s="4">
        <v>45536</v>
      </c>
      <c r="B246" s="5" t="s">
        <v>12</v>
      </c>
      <c r="C246" s="4">
        <v>45536</v>
      </c>
      <c r="D246" s="5" t="s">
        <v>10</v>
      </c>
      <c r="E246" s="6">
        <v>647</v>
      </c>
      <c r="F246" s="6">
        <v>144907.5316846986</v>
      </c>
      <c r="G246" s="6">
        <v>93755173</v>
      </c>
      <c r="H246" s="6">
        <v>22618304</v>
      </c>
      <c r="I246" s="6">
        <f t="shared" si="3"/>
        <v>0</v>
      </c>
      <c r="J246" t="str" cm="1">
        <f t="array" ref="J246">_xlfn.IFS(
AND(I246&gt;=89,I246&lt;=92),"D-90",
AND(I246&gt;=58,I246&lt;=62),"D-60",
AND(I246&gt;=28,I246&lt;=32),"D-30",
AND(I246=0),"당월",
TRUE,"그외")</f>
        <v>당월</v>
      </c>
    </row>
    <row r="247" spans="1:10" ht="17.649999999999999" customHeight="1" x14ac:dyDescent="0.3">
      <c r="A247" s="4">
        <v>45536</v>
      </c>
      <c r="B247" s="5" t="s">
        <v>13</v>
      </c>
      <c r="C247" s="4">
        <v>45352</v>
      </c>
      <c r="D247" s="5" t="s">
        <v>10</v>
      </c>
      <c r="E247" s="6">
        <v>77</v>
      </c>
      <c r="F247" s="6">
        <v>455610.3896103896</v>
      </c>
      <c r="G247" s="6">
        <v>35082000</v>
      </c>
      <c r="H247" s="6">
        <v>3388000</v>
      </c>
      <c r="I247" s="6">
        <f t="shared" si="3"/>
        <v>184</v>
      </c>
      <c r="J247" t="str" cm="1">
        <f t="array" ref="J247">_xlfn.IFS(
AND(I247&gt;=89,I247&lt;=92),"D-90",
AND(I247&gt;=58,I247&lt;=62),"D-60",
AND(I247&gt;=28,I247&lt;=32),"D-30",
AND(I247=0),"당월",
TRUE,"그외")</f>
        <v>그외</v>
      </c>
    </row>
    <row r="248" spans="1:10" ht="17.649999999999999" customHeight="1" x14ac:dyDescent="0.3">
      <c r="A248" s="4">
        <v>45536</v>
      </c>
      <c r="B248" s="5" t="s">
        <v>13</v>
      </c>
      <c r="C248" s="4">
        <v>45383</v>
      </c>
      <c r="D248" s="5" t="s">
        <v>10</v>
      </c>
      <c r="E248" s="6">
        <v>77</v>
      </c>
      <c r="F248" s="6">
        <v>253212.64935064939</v>
      </c>
      <c r="G248" s="6">
        <v>19497374</v>
      </c>
      <c r="H248" s="6">
        <v>3367554</v>
      </c>
      <c r="I248" s="6">
        <f t="shared" si="3"/>
        <v>153</v>
      </c>
      <c r="J248" t="str" cm="1">
        <f t="array" ref="J248">_xlfn.IFS(
AND(I248&gt;=89,I248&lt;=92),"D-90",
AND(I248&gt;=58,I248&lt;=62),"D-60",
AND(I248&gt;=28,I248&lt;=32),"D-30",
AND(I248=0),"당월",
TRUE,"그외")</f>
        <v>그외</v>
      </c>
    </row>
    <row r="249" spans="1:10" ht="17.649999999999999" customHeight="1" x14ac:dyDescent="0.3">
      <c r="A249" s="4">
        <v>45536</v>
      </c>
      <c r="B249" s="5" t="s">
        <v>13</v>
      </c>
      <c r="C249" s="4">
        <v>45413</v>
      </c>
      <c r="D249" s="5" t="s">
        <v>9</v>
      </c>
      <c r="E249" s="6">
        <v>70</v>
      </c>
      <c r="F249" s="6">
        <v>410214.28571428568</v>
      </c>
      <c r="G249" s="6">
        <v>28715000</v>
      </c>
      <c r="H249" s="6">
        <v>3115000</v>
      </c>
      <c r="I249" s="6">
        <f t="shared" si="3"/>
        <v>123</v>
      </c>
      <c r="J249" t="str" cm="1">
        <f t="array" ref="J249">_xlfn.IFS(
AND(I249&gt;=89,I249&lt;=92),"D-90",
AND(I249&gt;=58,I249&lt;=62),"D-60",
AND(I249&gt;=28,I249&lt;=32),"D-30",
AND(I249=0),"당월",
TRUE,"그외")</f>
        <v>그외</v>
      </c>
    </row>
    <row r="250" spans="1:10" ht="17.649999999999999" customHeight="1" x14ac:dyDescent="0.3">
      <c r="A250" s="4">
        <v>45536</v>
      </c>
      <c r="B250" s="5" t="s">
        <v>13</v>
      </c>
      <c r="C250" s="4">
        <v>45413</v>
      </c>
      <c r="D250" s="5" t="s">
        <v>10</v>
      </c>
      <c r="E250" s="6">
        <v>361</v>
      </c>
      <c r="F250" s="6">
        <v>224691.0332409972</v>
      </c>
      <c r="G250" s="6">
        <v>81113463</v>
      </c>
      <c r="H250" s="6">
        <v>16052047</v>
      </c>
      <c r="I250" s="6">
        <f t="shared" si="3"/>
        <v>123</v>
      </c>
      <c r="J250" t="str" cm="1">
        <f t="array" ref="J250">_xlfn.IFS(
AND(I250&gt;=89,I250&lt;=92),"D-90",
AND(I250&gt;=58,I250&lt;=62),"D-60",
AND(I250&gt;=28,I250&lt;=32),"D-30",
AND(I250=0),"당월",
TRUE,"그외")</f>
        <v>그외</v>
      </c>
    </row>
    <row r="251" spans="1:10" ht="17.649999999999999" customHeight="1" x14ac:dyDescent="0.3">
      <c r="A251" s="4">
        <v>45536</v>
      </c>
      <c r="B251" s="5" t="s">
        <v>13</v>
      </c>
      <c r="C251" s="4">
        <v>45444</v>
      </c>
      <c r="D251" s="5" t="s">
        <v>9</v>
      </c>
      <c r="E251" s="6">
        <v>14</v>
      </c>
      <c r="F251" s="6">
        <v>226185.71428571429</v>
      </c>
      <c r="G251" s="6">
        <v>3166600</v>
      </c>
      <c r="H251" s="6">
        <v>566600</v>
      </c>
      <c r="I251" s="6">
        <f t="shared" si="3"/>
        <v>92</v>
      </c>
      <c r="J251" t="str" cm="1">
        <f t="array" ref="J251">_xlfn.IFS(
AND(I251&gt;=89,I251&lt;=92),"D-90",
AND(I251&gt;=58,I251&lt;=62),"D-60",
AND(I251&gt;=28,I251&lt;=32),"D-30",
AND(I251=0),"당월",
TRUE,"그외")</f>
        <v>D-90</v>
      </c>
    </row>
    <row r="252" spans="1:10" ht="17.649999999999999" customHeight="1" x14ac:dyDescent="0.3">
      <c r="A252" s="4">
        <v>45536</v>
      </c>
      <c r="B252" s="5" t="s">
        <v>13</v>
      </c>
      <c r="C252" s="4">
        <v>45444</v>
      </c>
      <c r="D252" s="5" t="s">
        <v>10</v>
      </c>
      <c r="E252" s="6">
        <v>703</v>
      </c>
      <c r="F252" s="6">
        <v>178394.50071123749</v>
      </c>
      <c r="G252" s="6">
        <v>125411334</v>
      </c>
      <c r="H252" s="6">
        <v>27884454</v>
      </c>
      <c r="I252" s="6">
        <f t="shared" si="3"/>
        <v>92</v>
      </c>
      <c r="J252" t="str" cm="1">
        <f t="array" ref="J252">_xlfn.IFS(
AND(I252&gt;=89,I252&lt;=92),"D-90",
AND(I252&gt;=58,I252&lt;=62),"D-60",
AND(I252&gt;=28,I252&lt;=32),"D-30",
AND(I252=0),"당월",
TRUE,"그외")</f>
        <v>D-90</v>
      </c>
    </row>
    <row r="253" spans="1:10" ht="17.649999999999999" customHeight="1" x14ac:dyDescent="0.3">
      <c r="A253" s="4">
        <v>45536</v>
      </c>
      <c r="B253" s="5" t="s">
        <v>13</v>
      </c>
      <c r="C253" s="4">
        <v>45474</v>
      </c>
      <c r="D253" s="5" t="s">
        <v>9</v>
      </c>
      <c r="E253" s="6">
        <v>716</v>
      </c>
      <c r="F253" s="6">
        <v>207246.50837988831</v>
      </c>
      <c r="G253" s="6">
        <v>148388500</v>
      </c>
      <c r="H253" s="6">
        <v>25498500</v>
      </c>
      <c r="I253" s="6">
        <f t="shared" si="3"/>
        <v>62</v>
      </c>
      <c r="J253" t="str" cm="1">
        <f t="array" ref="J253">_xlfn.IFS(
AND(I253&gt;=89,I253&lt;=92),"D-90",
AND(I253&gt;=58,I253&lt;=62),"D-60",
AND(I253&gt;=28,I253&lt;=32),"D-30",
AND(I253=0),"당월",
TRUE,"그외")</f>
        <v>D-60</v>
      </c>
    </row>
    <row r="254" spans="1:10" ht="17.649999999999999" customHeight="1" x14ac:dyDescent="0.3">
      <c r="A254" s="4">
        <v>45536</v>
      </c>
      <c r="B254" s="5" t="s">
        <v>13</v>
      </c>
      <c r="C254" s="4">
        <v>45474</v>
      </c>
      <c r="D254" s="5" t="s">
        <v>10</v>
      </c>
      <c r="E254" s="6">
        <v>2016</v>
      </c>
      <c r="F254" s="6">
        <v>161873.3382936508</v>
      </c>
      <c r="G254" s="6">
        <v>326336650</v>
      </c>
      <c r="H254" s="6">
        <v>71646051</v>
      </c>
      <c r="I254" s="6">
        <f t="shared" si="3"/>
        <v>62</v>
      </c>
      <c r="J254" t="str" cm="1">
        <f t="array" ref="J254">_xlfn.IFS(
AND(I254&gt;=89,I254&lt;=92),"D-90",
AND(I254&gt;=58,I254&lt;=62),"D-60",
AND(I254&gt;=28,I254&lt;=32),"D-30",
AND(I254=0),"당월",
TRUE,"그외")</f>
        <v>D-60</v>
      </c>
    </row>
    <row r="255" spans="1:10" ht="17.649999999999999" customHeight="1" x14ac:dyDescent="0.3">
      <c r="A255" s="4">
        <v>45536</v>
      </c>
      <c r="B255" s="5" t="s">
        <v>13</v>
      </c>
      <c r="C255" s="4">
        <v>45505</v>
      </c>
      <c r="D255" s="5" t="s">
        <v>9</v>
      </c>
      <c r="E255" s="6">
        <v>1045</v>
      </c>
      <c r="F255" s="6">
        <v>234439.71291866031</v>
      </c>
      <c r="G255" s="6">
        <v>244989500</v>
      </c>
      <c r="H255" s="6">
        <v>41886500</v>
      </c>
      <c r="I255" s="6">
        <f t="shared" si="3"/>
        <v>31</v>
      </c>
      <c r="J255" t="str" cm="1">
        <f t="array" ref="J255">_xlfn.IFS(
AND(I255&gt;=89,I255&lt;=92),"D-90",
AND(I255&gt;=58,I255&lt;=62),"D-60",
AND(I255&gt;=28,I255&lt;=32),"D-30",
AND(I255=0),"당월",
TRUE,"그외")</f>
        <v>D-30</v>
      </c>
    </row>
    <row r="256" spans="1:10" ht="17.649999999999999" customHeight="1" x14ac:dyDescent="0.3">
      <c r="A256" s="4">
        <v>45536</v>
      </c>
      <c r="B256" s="5" t="s">
        <v>13</v>
      </c>
      <c r="C256" s="4">
        <v>45505</v>
      </c>
      <c r="D256" s="5" t="s">
        <v>10</v>
      </c>
      <c r="E256" s="6">
        <v>3051</v>
      </c>
      <c r="F256" s="6">
        <v>160632.73516879711</v>
      </c>
      <c r="G256" s="6">
        <v>490090475</v>
      </c>
      <c r="H256" s="6">
        <v>121791913</v>
      </c>
      <c r="I256" s="6">
        <f t="shared" si="3"/>
        <v>31</v>
      </c>
      <c r="J256" t="str" cm="1">
        <f t="array" ref="J256">_xlfn.IFS(
AND(I256&gt;=89,I256&lt;=92),"D-90",
AND(I256&gt;=58,I256&lt;=62),"D-60",
AND(I256&gt;=28,I256&lt;=32),"D-30",
AND(I256=0),"당월",
TRUE,"그외")</f>
        <v>D-30</v>
      </c>
    </row>
    <row r="257" spans="1:10" ht="17.649999999999999" customHeight="1" x14ac:dyDescent="0.3">
      <c r="A257" s="4">
        <v>45536</v>
      </c>
      <c r="B257" s="5" t="s">
        <v>13</v>
      </c>
      <c r="C257" s="4">
        <v>45536</v>
      </c>
      <c r="D257" s="5" t="s">
        <v>9</v>
      </c>
      <c r="E257" s="6">
        <v>509</v>
      </c>
      <c r="F257" s="6">
        <v>146456.97445972491</v>
      </c>
      <c r="G257" s="6">
        <v>74546600</v>
      </c>
      <c r="H257" s="6">
        <v>18238600</v>
      </c>
      <c r="I257" s="6">
        <f t="shared" si="3"/>
        <v>0</v>
      </c>
      <c r="J257" t="str" cm="1">
        <f t="array" ref="J257">_xlfn.IFS(
AND(I257&gt;=89,I257&lt;=92),"D-90",
AND(I257&gt;=58,I257&lt;=62),"D-60",
AND(I257&gt;=28,I257&lt;=32),"D-30",
AND(I257=0),"당월",
TRUE,"그외")</f>
        <v>당월</v>
      </c>
    </row>
    <row r="258" spans="1:10" ht="17.649999999999999" customHeight="1" x14ac:dyDescent="0.3">
      <c r="A258" s="4">
        <v>45536</v>
      </c>
      <c r="B258" s="5" t="s">
        <v>13</v>
      </c>
      <c r="C258" s="4">
        <v>45536</v>
      </c>
      <c r="D258" s="5" t="s">
        <v>10</v>
      </c>
      <c r="E258" s="6">
        <v>863</v>
      </c>
      <c r="F258" s="6">
        <v>171453.7033603708</v>
      </c>
      <c r="G258" s="6">
        <v>147964546</v>
      </c>
      <c r="H258" s="6">
        <v>30942850</v>
      </c>
      <c r="I258" s="6">
        <f t="shared" si="3"/>
        <v>0</v>
      </c>
      <c r="J258" t="str" cm="1">
        <f t="array" ref="J258">_xlfn.IFS(
AND(I258&gt;=89,I258&lt;=92),"D-90",
AND(I258&gt;=58,I258&lt;=62),"D-60",
AND(I258&gt;=28,I258&lt;=32),"D-30",
AND(I258=0),"당월",
TRUE,"그외")</f>
        <v>당월</v>
      </c>
    </row>
    <row r="259" spans="1:10" ht="17.649999999999999" customHeight="1" x14ac:dyDescent="0.3">
      <c r="A259" s="4">
        <v>45566</v>
      </c>
      <c r="B259" s="5" t="s">
        <v>8</v>
      </c>
      <c r="C259" s="4">
        <v>45383</v>
      </c>
      <c r="D259" s="5" t="s">
        <v>10</v>
      </c>
      <c r="E259" s="6">
        <v>83</v>
      </c>
      <c r="F259" s="6">
        <v>213382.26506024101</v>
      </c>
      <c r="G259" s="6">
        <v>17710728</v>
      </c>
      <c r="H259" s="6">
        <v>3598900</v>
      </c>
      <c r="I259" s="6">
        <f t="shared" ref="I259:I322" si="4">A259-C259</f>
        <v>183</v>
      </c>
      <c r="J259" t="str" cm="1">
        <f t="array" ref="J259">_xlfn.IFS(
AND(I259&gt;=89,I259&lt;=92),"D-90",
AND(I259&gt;=58,I259&lt;=62),"D-60",
AND(I259&gt;=28,I259&lt;=32),"D-30",
AND(I259=0),"당월",
TRUE,"그외")</f>
        <v>그외</v>
      </c>
    </row>
    <row r="260" spans="1:10" ht="17.649999999999999" customHeight="1" x14ac:dyDescent="0.3">
      <c r="A260" s="4">
        <v>45566</v>
      </c>
      <c r="B260" s="5" t="s">
        <v>8</v>
      </c>
      <c r="C260" s="4">
        <v>45413</v>
      </c>
      <c r="D260" s="5" t="s">
        <v>10</v>
      </c>
      <c r="E260" s="6">
        <v>224</v>
      </c>
      <c r="F260" s="6">
        <v>221693.83928571429</v>
      </c>
      <c r="G260" s="6">
        <v>49659420</v>
      </c>
      <c r="H260" s="6">
        <v>9955332</v>
      </c>
      <c r="I260" s="6">
        <f t="shared" si="4"/>
        <v>153</v>
      </c>
      <c r="J260" t="str" cm="1">
        <f t="array" ref="J260">_xlfn.IFS(
AND(I260&gt;=89,I260&lt;=92),"D-90",
AND(I260&gt;=58,I260&lt;=62),"D-60",
AND(I260&gt;=28,I260&lt;=32),"D-30",
AND(I260=0),"당월",
TRUE,"그외")</f>
        <v>그외</v>
      </c>
    </row>
    <row r="261" spans="1:10" ht="17.649999999999999" customHeight="1" x14ac:dyDescent="0.3">
      <c r="A261" s="4">
        <v>45566</v>
      </c>
      <c r="B261" s="5" t="s">
        <v>8</v>
      </c>
      <c r="C261" s="4">
        <v>45444</v>
      </c>
      <c r="D261" s="5" t="s">
        <v>9</v>
      </c>
      <c r="E261" s="6">
        <v>119</v>
      </c>
      <c r="F261" s="6">
        <v>238203.36134453781</v>
      </c>
      <c r="G261" s="6">
        <v>28346200</v>
      </c>
      <c r="H261" s="6">
        <v>4736200</v>
      </c>
      <c r="I261" s="6">
        <f t="shared" si="4"/>
        <v>122</v>
      </c>
      <c r="J261" t="str" cm="1">
        <f t="array" ref="J261">_xlfn.IFS(
AND(I261&gt;=89,I261&lt;=92),"D-90",
AND(I261&gt;=58,I261&lt;=62),"D-60",
AND(I261&gt;=28,I261&lt;=32),"D-30",
AND(I261=0),"당월",
TRUE,"그외")</f>
        <v>그외</v>
      </c>
    </row>
    <row r="262" spans="1:10" ht="17.649999999999999" customHeight="1" x14ac:dyDescent="0.3">
      <c r="A262" s="4">
        <v>45566</v>
      </c>
      <c r="B262" s="5" t="s">
        <v>8</v>
      </c>
      <c r="C262" s="4">
        <v>45444</v>
      </c>
      <c r="D262" s="5" t="s">
        <v>10</v>
      </c>
      <c r="E262" s="6">
        <v>291</v>
      </c>
      <c r="F262" s="6">
        <v>205707.17525773199</v>
      </c>
      <c r="G262" s="6">
        <v>59860788</v>
      </c>
      <c r="H262" s="6">
        <v>11608988</v>
      </c>
      <c r="I262" s="6">
        <f t="shared" si="4"/>
        <v>122</v>
      </c>
      <c r="J262" t="str" cm="1">
        <f t="array" ref="J262">_xlfn.IFS(
AND(I262&gt;=89,I262&lt;=92),"D-90",
AND(I262&gt;=58,I262&lt;=62),"D-60",
AND(I262&gt;=28,I262&lt;=32),"D-30",
AND(I262=0),"당월",
TRUE,"그외")</f>
        <v>그외</v>
      </c>
    </row>
    <row r="263" spans="1:10" ht="17.649999999999999" customHeight="1" x14ac:dyDescent="0.3">
      <c r="A263" s="4">
        <v>45566</v>
      </c>
      <c r="B263" s="5" t="s">
        <v>8</v>
      </c>
      <c r="C263" s="4">
        <v>45474</v>
      </c>
      <c r="D263" s="5" t="s">
        <v>9</v>
      </c>
      <c r="E263" s="6">
        <v>1434</v>
      </c>
      <c r="F263" s="6">
        <v>172818.27057182699</v>
      </c>
      <c r="G263" s="6">
        <v>247821400</v>
      </c>
      <c r="H263" s="6">
        <v>51050400</v>
      </c>
      <c r="I263" s="6">
        <f t="shared" si="4"/>
        <v>92</v>
      </c>
      <c r="J263" t="str" cm="1">
        <f t="array" ref="J263">_xlfn.IFS(
AND(I263&gt;=89,I263&lt;=92),"D-90",
AND(I263&gt;=58,I263&lt;=62),"D-60",
AND(I263&gt;=28,I263&lt;=32),"D-30",
AND(I263=0),"당월",
TRUE,"그외")</f>
        <v>D-90</v>
      </c>
    </row>
    <row r="264" spans="1:10" ht="17.649999999999999" customHeight="1" x14ac:dyDescent="0.3">
      <c r="A264" s="4">
        <v>45566</v>
      </c>
      <c r="B264" s="5" t="s">
        <v>8</v>
      </c>
      <c r="C264" s="4">
        <v>45474</v>
      </c>
      <c r="D264" s="5" t="s">
        <v>10</v>
      </c>
      <c r="E264" s="6">
        <v>470</v>
      </c>
      <c r="F264" s="6">
        <v>194422.4489361702</v>
      </c>
      <c r="G264" s="6">
        <v>91378551</v>
      </c>
      <c r="H264" s="6">
        <v>15742395</v>
      </c>
      <c r="I264" s="6">
        <f t="shared" si="4"/>
        <v>92</v>
      </c>
      <c r="J264" t="str" cm="1">
        <f t="array" ref="J264">_xlfn.IFS(
AND(I264&gt;=89,I264&lt;=92),"D-90",
AND(I264&gt;=58,I264&lt;=62),"D-60",
AND(I264&gt;=28,I264&lt;=32),"D-30",
AND(I264=0),"당월",
TRUE,"그외")</f>
        <v>D-90</v>
      </c>
    </row>
    <row r="265" spans="1:10" ht="17.649999999999999" customHeight="1" x14ac:dyDescent="0.3">
      <c r="A265" s="4">
        <v>45566</v>
      </c>
      <c r="B265" s="5" t="s">
        <v>8</v>
      </c>
      <c r="C265" s="4">
        <v>45505</v>
      </c>
      <c r="D265" s="5" t="s">
        <v>9</v>
      </c>
      <c r="E265" s="6">
        <v>243</v>
      </c>
      <c r="F265" s="6">
        <v>173069.1358024691</v>
      </c>
      <c r="G265" s="6">
        <v>42055800</v>
      </c>
      <c r="H265" s="6">
        <v>9739800</v>
      </c>
      <c r="I265" s="6">
        <f t="shared" si="4"/>
        <v>61</v>
      </c>
      <c r="J265" t="str" cm="1">
        <f t="array" ref="J265">_xlfn.IFS(
AND(I265&gt;=89,I265&lt;=92),"D-90",
AND(I265&gt;=58,I265&lt;=62),"D-60",
AND(I265&gt;=28,I265&lt;=32),"D-30",
AND(I265=0),"당월",
TRUE,"그외")</f>
        <v>D-60</v>
      </c>
    </row>
    <row r="266" spans="1:10" ht="17.649999999999999" customHeight="1" x14ac:dyDescent="0.3">
      <c r="A266" s="4">
        <v>45566</v>
      </c>
      <c r="B266" s="5" t="s">
        <v>8</v>
      </c>
      <c r="C266" s="4">
        <v>45505</v>
      </c>
      <c r="D266" s="5" t="s">
        <v>10</v>
      </c>
      <c r="E266" s="6">
        <v>455</v>
      </c>
      <c r="F266" s="6">
        <v>196875.3142857143</v>
      </c>
      <c r="G266" s="6">
        <v>89578268</v>
      </c>
      <c r="H266" s="6">
        <v>17729088</v>
      </c>
      <c r="I266" s="6">
        <f t="shared" si="4"/>
        <v>61</v>
      </c>
      <c r="J266" t="str" cm="1">
        <f t="array" ref="J266">_xlfn.IFS(
AND(I266&gt;=89,I266&lt;=92),"D-90",
AND(I266&gt;=58,I266&lt;=62),"D-60",
AND(I266&gt;=28,I266&lt;=32),"D-30",
AND(I266=0),"당월",
TRUE,"그외")</f>
        <v>D-60</v>
      </c>
    </row>
    <row r="267" spans="1:10" ht="17.649999999999999" customHeight="1" x14ac:dyDescent="0.3">
      <c r="A267" s="4">
        <v>45566</v>
      </c>
      <c r="B267" s="5" t="s">
        <v>8</v>
      </c>
      <c r="C267" s="4">
        <v>45536</v>
      </c>
      <c r="D267" s="5" t="s">
        <v>9</v>
      </c>
      <c r="E267" s="6">
        <v>1471</v>
      </c>
      <c r="F267" s="6">
        <v>165722.2297756628</v>
      </c>
      <c r="G267" s="6">
        <v>243777400</v>
      </c>
      <c r="H267" s="6">
        <v>52660400</v>
      </c>
      <c r="I267" s="6">
        <f t="shared" si="4"/>
        <v>30</v>
      </c>
      <c r="J267" t="str" cm="1">
        <f t="array" ref="J267">_xlfn.IFS(
AND(I267&gt;=89,I267&lt;=92),"D-90",
AND(I267&gt;=58,I267&lt;=62),"D-60",
AND(I267&gt;=28,I267&lt;=32),"D-30",
AND(I267=0),"당월",
TRUE,"그외")</f>
        <v>D-30</v>
      </c>
    </row>
    <row r="268" spans="1:10" ht="17.649999999999999" customHeight="1" x14ac:dyDescent="0.3">
      <c r="A268" s="4">
        <v>45566</v>
      </c>
      <c r="B268" s="5" t="s">
        <v>8</v>
      </c>
      <c r="C268" s="4">
        <v>45536</v>
      </c>
      <c r="D268" s="5" t="s">
        <v>10</v>
      </c>
      <c r="E268" s="6">
        <v>1873</v>
      </c>
      <c r="F268" s="6">
        <v>155495.13400961031</v>
      </c>
      <c r="G268" s="6">
        <v>291242386</v>
      </c>
      <c r="H268" s="6">
        <v>65959166</v>
      </c>
      <c r="I268" s="6">
        <f t="shared" si="4"/>
        <v>30</v>
      </c>
      <c r="J268" t="str" cm="1">
        <f t="array" ref="J268">_xlfn.IFS(
AND(I268&gt;=89,I268&lt;=92),"D-90",
AND(I268&gt;=58,I268&lt;=62),"D-60",
AND(I268&gt;=28,I268&lt;=32),"D-30",
AND(I268=0),"당월",
TRUE,"그외")</f>
        <v>D-30</v>
      </c>
    </row>
    <row r="269" spans="1:10" ht="17.649999999999999" customHeight="1" x14ac:dyDescent="0.3">
      <c r="A269" s="4">
        <v>45566</v>
      </c>
      <c r="B269" s="5" t="s">
        <v>8</v>
      </c>
      <c r="C269" s="4">
        <v>45566</v>
      </c>
      <c r="D269" s="5" t="s">
        <v>9</v>
      </c>
      <c r="E269" s="6">
        <v>1793</v>
      </c>
      <c r="F269" s="6">
        <v>111273.28499721141</v>
      </c>
      <c r="G269" s="6">
        <v>199513000</v>
      </c>
      <c r="H269" s="6">
        <v>45769000</v>
      </c>
      <c r="I269" s="6">
        <f t="shared" si="4"/>
        <v>0</v>
      </c>
      <c r="J269" t="str" cm="1">
        <f t="array" ref="J269">_xlfn.IFS(
AND(I269&gt;=89,I269&lt;=92),"D-90",
AND(I269&gt;=58,I269&lt;=62),"D-60",
AND(I269&gt;=28,I269&lt;=32),"D-30",
AND(I269=0),"당월",
TRUE,"그외")</f>
        <v>당월</v>
      </c>
    </row>
    <row r="270" spans="1:10" ht="17.649999999999999" customHeight="1" x14ac:dyDescent="0.3">
      <c r="A270" s="4">
        <v>45566</v>
      </c>
      <c r="B270" s="5" t="s">
        <v>8</v>
      </c>
      <c r="C270" s="4">
        <v>45566</v>
      </c>
      <c r="D270" s="5" t="s">
        <v>10</v>
      </c>
      <c r="E270" s="6">
        <v>1240</v>
      </c>
      <c r="F270" s="6">
        <v>87426.641935483873</v>
      </c>
      <c r="G270" s="6">
        <v>108409036</v>
      </c>
      <c r="H270" s="6">
        <v>31767957</v>
      </c>
      <c r="I270" s="6">
        <f t="shared" si="4"/>
        <v>0</v>
      </c>
      <c r="J270" t="str" cm="1">
        <f t="array" ref="J270">_xlfn.IFS(
AND(I270&gt;=89,I270&lt;=92),"D-90",
AND(I270&gt;=58,I270&lt;=62),"D-60",
AND(I270&gt;=28,I270&lt;=32),"D-30",
AND(I270=0),"당월",
TRUE,"그외")</f>
        <v>당월</v>
      </c>
    </row>
    <row r="271" spans="1:10" ht="17.649999999999999" customHeight="1" x14ac:dyDescent="0.3">
      <c r="A271" s="4">
        <v>45566</v>
      </c>
      <c r="B271" s="5" t="s">
        <v>11</v>
      </c>
      <c r="C271" s="4">
        <v>45383</v>
      </c>
      <c r="D271" s="5" t="s">
        <v>10</v>
      </c>
      <c r="E271" s="6">
        <v>118</v>
      </c>
      <c r="F271" s="6">
        <v>236054.2372881356</v>
      </c>
      <c r="G271" s="6">
        <v>27854400</v>
      </c>
      <c r="H271" s="6">
        <v>5168400</v>
      </c>
      <c r="I271" s="6">
        <f t="shared" si="4"/>
        <v>183</v>
      </c>
      <c r="J271" t="str" cm="1">
        <f t="array" ref="J271">_xlfn.IFS(
AND(I271&gt;=89,I271&lt;=92),"D-90",
AND(I271&gt;=58,I271&lt;=62),"D-60",
AND(I271&gt;=28,I271&lt;=32),"D-30",
AND(I271=0),"당월",
TRUE,"그외")</f>
        <v>그외</v>
      </c>
    </row>
    <row r="272" spans="1:10" ht="17.649999999999999" customHeight="1" x14ac:dyDescent="0.3">
      <c r="A272" s="4">
        <v>45566</v>
      </c>
      <c r="B272" s="5" t="s">
        <v>11</v>
      </c>
      <c r="C272" s="4">
        <v>45413</v>
      </c>
      <c r="D272" s="5" t="s">
        <v>10</v>
      </c>
      <c r="E272" s="6">
        <v>180</v>
      </c>
      <c r="F272" s="6">
        <v>207548.88888888891</v>
      </c>
      <c r="G272" s="6">
        <v>37358800</v>
      </c>
      <c r="H272" s="6">
        <v>8010000</v>
      </c>
      <c r="I272" s="6">
        <f t="shared" si="4"/>
        <v>153</v>
      </c>
      <c r="J272" t="str" cm="1">
        <f t="array" ref="J272">_xlfn.IFS(
AND(I272&gt;=89,I272&lt;=92),"D-90",
AND(I272&gt;=58,I272&lt;=62),"D-60",
AND(I272&gt;=28,I272&lt;=32),"D-30",
AND(I272=0),"당월",
TRUE,"그외")</f>
        <v>그외</v>
      </c>
    </row>
    <row r="273" spans="1:10" ht="17.649999999999999" customHeight="1" x14ac:dyDescent="0.3">
      <c r="A273" s="4">
        <v>45566</v>
      </c>
      <c r="B273" s="5" t="s">
        <v>11</v>
      </c>
      <c r="C273" s="4">
        <v>45444</v>
      </c>
      <c r="D273" s="5" t="s">
        <v>9</v>
      </c>
      <c r="E273" s="6">
        <v>78</v>
      </c>
      <c r="F273" s="6">
        <v>227569.23076923081</v>
      </c>
      <c r="G273" s="6">
        <v>17750400</v>
      </c>
      <c r="H273" s="6">
        <v>3104400</v>
      </c>
      <c r="I273" s="6">
        <f t="shared" si="4"/>
        <v>122</v>
      </c>
      <c r="J273" t="str" cm="1">
        <f t="array" ref="J273">_xlfn.IFS(
AND(I273&gt;=89,I273&lt;=92),"D-90",
AND(I273&gt;=58,I273&lt;=62),"D-60",
AND(I273&gt;=28,I273&lt;=32),"D-30",
AND(I273=0),"당월",
TRUE,"그외")</f>
        <v>그외</v>
      </c>
    </row>
    <row r="274" spans="1:10" ht="17.649999999999999" customHeight="1" x14ac:dyDescent="0.3">
      <c r="A274" s="4">
        <v>45566</v>
      </c>
      <c r="B274" s="5" t="s">
        <v>11</v>
      </c>
      <c r="C274" s="4">
        <v>45444</v>
      </c>
      <c r="D274" s="5" t="s">
        <v>10</v>
      </c>
      <c r="E274" s="6">
        <v>188</v>
      </c>
      <c r="F274" s="6">
        <v>197279.25531914891</v>
      </c>
      <c r="G274" s="6">
        <v>37088500</v>
      </c>
      <c r="H274" s="6">
        <v>7482400</v>
      </c>
      <c r="I274" s="6">
        <f t="shared" si="4"/>
        <v>122</v>
      </c>
      <c r="J274" t="str" cm="1">
        <f t="array" ref="J274">_xlfn.IFS(
AND(I274&gt;=89,I274&lt;=92),"D-90",
AND(I274&gt;=58,I274&lt;=62),"D-60",
AND(I274&gt;=28,I274&lt;=32),"D-30",
AND(I274=0),"당월",
TRUE,"그외")</f>
        <v>그외</v>
      </c>
    </row>
    <row r="275" spans="1:10" ht="17.649999999999999" customHeight="1" x14ac:dyDescent="0.3">
      <c r="A275" s="4">
        <v>45566</v>
      </c>
      <c r="B275" s="5" t="s">
        <v>11</v>
      </c>
      <c r="C275" s="4">
        <v>45474</v>
      </c>
      <c r="D275" s="5" t="s">
        <v>9</v>
      </c>
      <c r="E275" s="6">
        <v>515</v>
      </c>
      <c r="F275" s="6">
        <v>185223.3009708738</v>
      </c>
      <c r="G275" s="6">
        <v>95390000</v>
      </c>
      <c r="H275" s="6">
        <v>18334000</v>
      </c>
      <c r="I275" s="6">
        <f t="shared" si="4"/>
        <v>92</v>
      </c>
      <c r="J275" t="str" cm="1">
        <f t="array" ref="J275">_xlfn.IFS(
AND(I275&gt;=89,I275&lt;=92),"D-90",
AND(I275&gt;=58,I275&lt;=62),"D-60",
AND(I275&gt;=28,I275&lt;=32),"D-30",
AND(I275=0),"당월",
TRUE,"그외")</f>
        <v>D-90</v>
      </c>
    </row>
    <row r="276" spans="1:10" ht="17.649999999999999" customHeight="1" x14ac:dyDescent="0.3">
      <c r="A276" s="4">
        <v>45566</v>
      </c>
      <c r="B276" s="5" t="s">
        <v>11</v>
      </c>
      <c r="C276" s="4">
        <v>45474</v>
      </c>
      <c r="D276" s="5" t="s">
        <v>10</v>
      </c>
      <c r="E276" s="6">
        <v>349</v>
      </c>
      <c r="F276" s="6">
        <v>198555.3495702006</v>
      </c>
      <c r="G276" s="6">
        <v>69295817</v>
      </c>
      <c r="H276" s="6">
        <v>12465476</v>
      </c>
      <c r="I276" s="6">
        <f t="shared" si="4"/>
        <v>92</v>
      </c>
      <c r="J276" t="str" cm="1">
        <f t="array" ref="J276">_xlfn.IFS(
AND(I276&gt;=89,I276&lt;=92),"D-90",
AND(I276&gt;=58,I276&lt;=62),"D-60",
AND(I276&gt;=28,I276&lt;=32),"D-30",
AND(I276=0),"당월",
TRUE,"그외")</f>
        <v>D-90</v>
      </c>
    </row>
    <row r="277" spans="1:10" ht="17.649999999999999" customHeight="1" x14ac:dyDescent="0.3">
      <c r="A277" s="4">
        <v>45566</v>
      </c>
      <c r="B277" s="5" t="s">
        <v>11</v>
      </c>
      <c r="C277" s="4">
        <v>45505</v>
      </c>
      <c r="D277" s="5" t="s">
        <v>9</v>
      </c>
      <c r="E277" s="6">
        <v>355</v>
      </c>
      <c r="F277" s="6">
        <v>179488.7323943662</v>
      </c>
      <c r="G277" s="6">
        <v>63718500</v>
      </c>
      <c r="H277" s="6">
        <v>14226500</v>
      </c>
      <c r="I277" s="6">
        <f t="shared" si="4"/>
        <v>61</v>
      </c>
      <c r="J277" t="str" cm="1">
        <f t="array" ref="J277">_xlfn.IFS(
AND(I277&gt;=89,I277&lt;=92),"D-90",
AND(I277&gt;=58,I277&lt;=62),"D-60",
AND(I277&gt;=28,I277&lt;=32),"D-30",
AND(I277=0),"당월",
TRUE,"그외")</f>
        <v>D-60</v>
      </c>
    </row>
    <row r="278" spans="1:10" ht="17.649999999999999" customHeight="1" x14ac:dyDescent="0.3">
      <c r="A278" s="4">
        <v>45566</v>
      </c>
      <c r="B278" s="5" t="s">
        <v>11</v>
      </c>
      <c r="C278" s="4">
        <v>45505</v>
      </c>
      <c r="D278" s="5" t="s">
        <v>10</v>
      </c>
      <c r="E278" s="6">
        <v>1431</v>
      </c>
      <c r="F278" s="6">
        <v>174496.06778476591</v>
      </c>
      <c r="G278" s="6">
        <v>249703873</v>
      </c>
      <c r="H278" s="6">
        <v>57283214</v>
      </c>
      <c r="I278" s="6">
        <f t="shared" si="4"/>
        <v>61</v>
      </c>
      <c r="J278" t="str" cm="1">
        <f t="array" ref="J278">_xlfn.IFS(
AND(I278&gt;=89,I278&lt;=92),"D-90",
AND(I278&gt;=58,I278&lt;=62),"D-60",
AND(I278&gt;=28,I278&lt;=32),"D-30",
AND(I278=0),"당월",
TRUE,"그외")</f>
        <v>D-60</v>
      </c>
    </row>
    <row r="279" spans="1:10" ht="17.649999999999999" customHeight="1" x14ac:dyDescent="0.3">
      <c r="A279" s="4">
        <v>45566</v>
      </c>
      <c r="B279" s="5" t="s">
        <v>11</v>
      </c>
      <c r="C279" s="4">
        <v>45536</v>
      </c>
      <c r="D279" s="5" t="s">
        <v>9</v>
      </c>
      <c r="E279" s="6">
        <v>1625</v>
      </c>
      <c r="F279" s="6">
        <v>166336.6153846154</v>
      </c>
      <c r="G279" s="6">
        <v>270297000</v>
      </c>
      <c r="H279" s="6">
        <v>58175000</v>
      </c>
      <c r="I279" s="6">
        <f t="shared" si="4"/>
        <v>30</v>
      </c>
      <c r="J279" t="str" cm="1">
        <f t="array" ref="J279">_xlfn.IFS(
AND(I279&gt;=89,I279&lt;=92),"D-90",
AND(I279&gt;=58,I279&lt;=62),"D-60",
AND(I279&gt;=28,I279&lt;=32),"D-30",
AND(I279=0),"당월",
TRUE,"그외")</f>
        <v>D-30</v>
      </c>
    </row>
    <row r="280" spans="1:10" ht="17.649999999999999" customHeight="1" x14ac:dyDescent="0.3">
      <c r="A280" s="4">
        <v>45566</v>
      </c>
      <c r="B280" s="5" t="s">
        <v>11</v>
      </c>
      <c r="C280" s="4">
        <v>45536</v>
      </c>
      <c r="D280" s="5" t="s">
        <v>10</v>
      </c>
      <c r="E280" s="6">
        <v>2464</v>
      </c>
      <c r="F280" s="6">
        <v>151322.31696428571</v>
      </c>
      <c r="G280" s="6">
        <v>372858189</v>
      </c>
      <c r="H280" s="6">
        <v>88361614</v>
      </c>
      <c r="I280" s="6">
        <f t="shared" si="4"/>
        <v>30</v>
      </c>
      <c r="J280" t="str" cm="1">
        <f t="array" ref="J280">_xlfn.IFS(
AND(I280&gt;=89,I280&lt;=92),"D-90",
AND(I280&gt;=58,I280&lt;=62),"D-60",
AND(I280&gt;=28,I280&lt;=32),"D-30",
AND(I280=0),"당월",
TRUE,"그외")</f>
        <v>D-30</v>
      </c>
    </row>
    <row r="281" spans="1:10" ht="17.649999999999999" customHeight="1" x14ac:dyDescent="0.3">
      <c r="A281" s="4">
        <v>45566</v>
      </c>
      <c r="B281" s="5" t="s">
        <v>11</v>
      </c>
      <c r="C281" s="4">
        <v>45566</v>
      </c>
      <c r="D281" s="5" t="s">
        <v>9</v>
      </c>
      <c r="E281" s="6">
        <v>842</v>
      </c>
      <c r="F281" s="6">
        <v>117412.2090261283</v>
      </c>
      <c r="G281" s="6">
        <v>98861080</v>
      </c>
      <c r="H281" s="6">
        <v>21940660</v>
      </c>
      <c r="I281" s="6">
        <f t="shared" si="4"/>
        <v>0</v>
      </c>
      <c r="J281" t="str" cm="1">
        <f t="array" ref="J281">_xlfn.IFS(
AND(I281&gt;=89,I281&lt;=92),"D-90",
AND(I281&gt;=58,I281&lt;=62),"D-60",
AND(I281&gt;=28,I281&lt;=32),"D-30",
AND(I281=0),"당월",
TRUE,"그외")</f>
        <v>당월</v>
      </c>
    </row>
    <row r="282" spans="1:10" ht="17.649999999999999" customHeight="1" x14ac:dyDescent="0.3">
      <c r="A282" s="4">
        <v>45566</v>
      </c>
      <c r="B282" s="5" t="s">
        <v>11</v>
      </c>
      <c r="C282" s="4">
        <v>45566</v>
      </c>
      <c r="D282" s="5" t="s">
        <v>10</v>
      </c>
      <c r="E282" s="6">
        <v>1025</v>
      </c>
      <c r="F282" s="6">
        <v>121784.5492682927</v>
      </c>
      <c r="G282" s="6">
        <v>124829163</v>
      </c>
      <c r="H282" s="6">
        <v>27238119</v>
      </c>
      <c r="I282" s="6">
        <f t="shared" si="4"/>
        <v>0</v>
      </c>
      <c r="J282" t="str" cm="1">
        <f t="array" ref="J282">_xlfn.IFS(
AND(I282&gt;=89,I282&lt;=92),"D-90",
AND(I282&gt;=58,I282&lt;=62),"D-60",
AND(I282&gt;=28,I282&lt;=32),"D-30",
AND(I282=0),"당월",
TRUE,"그외")</f>
        <v>당월</v>
      </c>
    </row>
    <row r="283" spans="1:10" ht="17.649999999999999" customHeight="1" x14ac:dyDescent="0.3">
      <c r="A283" s="4">
        <v>45566</v>
      </c>
      <c r="B283" s="5" t="s">
        <v>12</v>
      </c>
      <c r="C283" s="4">
        <v>45383</v>
      </c>
      <c r="D283" s="5" t="s">
        <v>10</v>
      </c>
      <c r="E283" s="6">
        <v>4</v>
      </c>
      <c r="F283" s="6">
        <v>243931</v>
      </c>
      <c r="G283" s="6">
        <v>975724</v>
      </c>
      <c r="H283" s="6">
        <v>175724</v>
      </c>
      <c r="I283" s="6">
        <f t="shared" si="4"/>
        <v>183</v>
      </c>
      <c r="J283" t="str" cm="1">
        <f t="array" ref="J283">_xlfn.IFS(
AND(I283&gt;=89,I283&lt;=92),"D-90",
AND(I283&gt;=58,I283&lt;=62),"D-60",
AND(I283&gt;=28,I283&lt;=32),"D-30",
AND(I283=0),"당월",
TRUE,"그외")</f>
        <v>그외</v>
      </c>
    </row>
    <row r="284" spans="1:10" ht="17.649999999999999" customHeight="1" x14ac:dyDescent="0.3">
      <c r="A284" s="4">
        <v>45566</v>
      </c>
      <c r="B284" s="5" t="s">
        <v>12</v>
      </c>
      <c r="C284" s="4">
        <v>45413</v>
      </c>
      <c r="D284" s="5" t="s">
        <v>10</v>
      </c>
      <c r="E284" s="6">
        <v>185</v>
      </c>
      <c r="F284" s="6">
        <v>236461.08108108109</v>
      </c>
      <c r="G284" s="6">
        <v>43745300</v>
      </c>
      <c r="H284" s="6">
        <v>8232500</v>
      </c>
      <c r="I284" s="6">
        <f t="shared" si="4"/>
        <v>153</v>
      </c>
      <c r="J284" t="str" cm="1">
        <f t="array" ref="J284">_xlfn.IFS(
AND(I284&gt;=89,I284&lt;=92),"D-90",
AND(I284&gt;=58,I284&lt;=62),"D-60",
AND(I284&gt;=28,I284&lt;=32),"D-30",
AND(I284=0),"당월",
TRUE,"그외")</f>
        <v>그외</v>
      </c>
    </row>
    <row r="285" spans="1:10" ht="17.649999999999999" customHeight="1" x14ac:dyDescent="0.3">
      <c r="A285" s="4">
        <v>45566</v>
      </c>
      <c r="B285" s="5" t="s">
        <v>12</v>
      </c>
      <c r="C285" s="4">
        <v>45444</v>
      </c>
      <c r="D285" s="5" t="s">
        <v>9</v>
      </c>
      <c r="E285" s="6">
        <v>28</v>
      </c>
      <c r="F285" s="6">
        <v>186942.8571428571</v>
      </c>
      <c r="G285" s="6">
        <v>5234400</v>
      </c>
      <c r="H285" s="6">
        <v>1114400</v>
      </c>
      <c r="I285" s="6">
        <f t="shared" si="4"/>
        <v>122</v>
      </c>
      <c r="J285" t="str" cm="1">
        <f t="array" ref="J285">_xlfn.IFS(
AND(I285&gt;=89,I285&lt;=92),"D-90",
AND(I285&gt;=58,I285&lt;=62),"D-60",
AND(I285&gt;=28,I285&lt;=32),"D-30",
AND(I285=0),"당월",
TRUE,"그외")</f>
        <v>그외</v>
      </c>
    </row>
    <row r="286" spans="1:10" ht="17.649999999999999" customHeight="1" x14ac:dyDescent="0.3">
      <c r="A286" s="4">
        <v>45566</v>
      </c>
      <c r="B286" s="5" t="s">
        <v>12</v>
      </c>
      <c r="C286" s="4">
        <v>45444</v>
      </c>
      <c r="D286" s="5" t="s">
        <v>10</v>
      </c>
      <c r="E286" s="6">
        <v>124</v>
      </c>
      <c r="F286" s="6">
        <v>256651.61290322579</v>
      </c>
      <c r="G286" s="6">
        <v>31824800</v>
      </c>
      <c r="H286" s="6">
        <v>4935200</v>
      </c>
      <c r="I286" s="6">
        <f t="shared" si="4"/>
        <v>122</v>
      </c>
      <c r="J286" t="str" cm="1">
        <f t="array" ref="J286">_xlfn.IFS(
AND(I286&gt;=89,I286&lt;=92),"D-90",
AND(I286&gt;=58,I286&lt;=62),"D-60",
AND(I286&gt;=28,I286&lt;=32),"D-30",
AND(I286=0),"당월",
TRUE,"그외")</f>
        <v>그외</v>
      </c>
    </row>
    <row r="287" spans="1:10" ht="17.649999999999999" customHeight="1" x14ac:dyDescent="0.3">
      <c r="A287" s="4">
        <v>45566</v>
      </c>
      <c r="B287" s="5" t="s">
        <v>12</v>
      </c>
      <c r="C287" s="4">
        <v>45474</v>
      </c>
      <c r="D287" s="5" t="s">
        <v>9</v>
      </c>
      <c r="E287" s="6">
        <v>241</v>
      </c>
      <c r="F287" s="6">
        <v>201695.43568464729</v>
      </c>
      <c r="G287" s="6">
        <v>48608600</v>
      </c>
      <c r="H287" s="6">
        <v>8579600</v>
      </c>
      <c r="I287" s="6">
        <f t="shared" si="4"/>
        <v>92</v>
      </c>
      <c r="J287" t="str" cm="1">
        <f t="array" ref="J287">_xlfn.IFS(
AND(I287&gt;=89,I287&lt;=92),"D-90",
AND(I287&gt;=58,I287&lt;=62),"D-60",
AND(I287&gt;=28,I287&lt;=32),"D-30",
AND(I287=0),"당월",
TRUE,"그외")</f>
        <v>D-90</v>
      </c>
    </row>
    <row r="288" spans="1:10" ht="17.649999999999999" customHeight="1" x14ac:dyDescent="0.3">
      <c r="A288" s="4">
        <v>45566</v>
      </c>
      <c r="B288" s="5" t="s">
        <v>12</v>
      </c>
      <c r="C288" s="4">
        <v>45474</v>
      </c>
      <c r="D288" s="5" t="s">
        <v>10</v>
      </c>
      <c r="E288" s="6">
        <v>229</v>
      </c>
      <c r="F288" s="6">
        <v>222793.98253275111</v>
      </c>
      <c r="G288" s="6">
        <v>51019822</v>
      </c>
      <c r="H288" s="6">
        <v>8164170</v>
      </c>
      <c r="I288" s="6">
        <f t="shared" si="4"/>
        <v>92</v>
      </c>
      <c r="J288" t="str" cm="1">
        <f t="array" ref="J288">_xlfn.IFS(
AND(I288&gt;=89,I288&lt;=92),"D-90",
AND(I288&gt;=58,I288&lt;=62),"D-60",
AND(I288&gt;=28,I288&lt;=32),"D-30",
AND(I288=0),"당월",
TRUE,"그외")</f>
        <v>D-90</v>
      </c>
    </row>
    <row r="289" spans="1:10" ht="17.649999999999999" customHeight="1" x14ac:dyDescent="0.3">
      <c r="A289" s="4">
        <v>45566</v>
      </c>
      <c r="B289" s="5" t="s">
        <v>12</v>
      </c>
      <c r="C289" s="4">
        <v>45505</v>
      </c>
      <c r="D289" s="5" t="s">
        <v>9</v>
      </c>
      <c r="E289" s="6">
        <v>227</v>
      </c>
      <c r="F289" s="6">
        <v>169644.93392070479</v>
      </c>
      <c r="G289" s="6">
        <v>38509400</v>
      </c>
      <c r="H289" s="6">
        <v>9084400</v>
      </c>
      <c r="I289" s="6">
        <f t="shared" si="4"/>
        <v>61</v>
      </c>
      <c r="J289" t="str" cm="1">
        <f t="array" ref="J289">_xlfn.IFS(
AND(I289&gt;=89,I289&lt;=92),"D-90",
AND(I289&gt;=58,I289&lt;=62),"D-60",
AND(I289&gt;=28,I289&lt;=32),"D-30",
AND(I289=0),"당월",
TRUE,"그외")</f>
        <v>D-60</v>
      </c>
    </row>
    <row r="290" spans="1:10" ht="17.649999999999999" customHeight="1" x14ac:dyDescent="0.3">
      <c r="A290" s="4">
        <v>45566</v>
      </c>
      <c r="B290" s="5" t="s">
        <v>12</v>
      </c>
      <c r="C290" s="4">
        <v>45505</v>
      </c>
      <c r="D290" s="5" t="s">
        <v>10</v>
      </c>
      <c r="E290" s="6">
        <v>384</v>
      </c>
      <c r="F290" s="6">
        <v>209515.88541666669</v>
      </c>
      <c r="G290" s="6">
        <v>80454100</v>
      </c>
      <c r="H290" s="6">
        <v>15358300</v>
      </c>
      <c r="I290" s="6">
        <f t="shared" si="4"/>
        <v>61</v>
      </c>
      <c r="J290" t="str" cm="1">
        <f t="array" ref="J290">_xlfn.IFS(
AND(I290&gt;=89,I290&lt;=92),"D-90",
AND(I290&gt;=58,I290&lt;=62),"D-60",
AND(I290&gt;=28,I290&lt;=32),"D-30",
AND(I290=0),"당월",
TRUE,"그외")</f>
        <v>D-60</v>
      </c>
    </row>
    <row r="291" spans="1:10" ht="17.649999999999999" customHeight="1" x14ac:dyDescent="0.3">
      <c r="A291" s="4">
        <v>45566</v>
      </c>
      <c r="B291" s="5" t="s">
        <v>12</v>
      </c>
      <c r="C291" s="4">
        <v>45536</v>
      </c>
      <c r="D291" s="5" t="s">
        <v>9</v>
      </c>
      <c r="E291" s="6">
        <v>1022</v>
      </c>
      <c r="F291" s="6">
        <v>196532.77886497061</v>
      </c>
      <c r="G291" s="6">
        <v>200856500</v>
      </c>
      <c r="H291" s="6">
        <v>36617500</v>
      </c>
      <c r="I291" s="6">
        <f t="shared" si="4"/>
        <v>30</v>
      </c>
      <c r="J291" t="str" cm="1">
        <f t="array" ref="J291">_xlfn.IFS(
AND(I291&gt;=89,I291&lt;=92),"D-90",
AND(I291&gt;=58,I291&lt;=62),"D-60",
AND(I291&gt;=28,I291&lt;=32),"D-30",
AND(I291=0),"당월",
TRUE,"그외")</f>
        <v>D-30</v>
      </c>
    </row>
    <row r="292" spans="1:10" ht="17.649999999999999" customHeight="1" x14ac:dyDescent="0.3">
      <c r="A292" s="4">
        <v>45566</v>
      </c>
      <c r="B292" s="5" t="s">
        <v>12</v>
      </c>
      <c r="C292" s="4">
        <v>45536</v>
      </c>
      <c r="D292" s="5" t="s">
        <v>10</v>
      </c>
      <c r="E292" s="6">
        <v>1000</v>
      </c>
      <c r="F292" s="6">
        <v>152812.375</v>
      </c>
      <c r="G292" s="6">
        <v>152812375</v>
      </c>
      <c r="H292" s="6">
        <v>34672165</v>
      </c>
      <c r="I292" s="6">
        <f t="shared" si="4"/>
        <v>30</v>
      </c>
      <c r="J292" t="str" cm="1">
        <f t="array" ref="J292">_xlfn.IFS(
AND(I292&gt;=89,I292&lt;=92),"D-90",
AND(I292&gt;=58,I292&lt;=62),"D-60",
AND(I292&gt;=28,I292&lt;=32),"D-30",
AND(I292=0),"당월",
TRUE,"그외")</f>
        <v>D-30</v>
      </c>
    </row>
    <row r="293" spans="1:10" ht="17.649999999999999" customHeight="1" x14ac:dyDescent="0.3">
      <c r="A293" s="4">
        <v>45566</v>
      </c>
      <c r="B293" s="5" t="s">
        <v>12</v>
      </c>
      <c r="C293" s="4">
        <v>45566</v>
      </c>
      <c r="D293" s="5" t="s">
        <v>9</v>
      </c>
      <c r="E293" s="6">
        <v>1071</v>
      </c>
      <c r="F293" s="6">
        <v>177452.10084033609</v>
      </c>
      <c r="G293" s="6">
        <v>190051200</v>
      </c>
      <c r="H293" s="6">
        <v>27224200</v>
      </c>
      <c r="I293" s="6">
        <f t="shared" si="4"/>
        <v>0</v>
      </c>
      <c r="J293" t="str" cm="1">
        <f t="array" ref="J293">_xlfn.IFS(
AND(I293&gt;=89,I293&lt;=92),"D-90",
AND(I293&gt;=58,I293&lt;=62),"D-60",
AND(I293&gt;=28,I293&lt;=32),"D-30",
AND(I293=0),"당월",
TRUE,"그외")</f>
        <v>당월</v>
      </c>
    </row>
    <row r="294" spans="1:10" ht="17.649999999999999" customHeight="1" x14ac:dyDescent="0.3">
      <c r="A294" s="4">
        <v>45566</v>
      </c>
      <c r="B294" s="5" t="s">
        <v>12</v>
      </c>
      <c r="C294" s="4">
        <v>45566</v>
      </c>
      <c r="D294" s="5" t="s">
        <v>10</v>
      </c>
      <c r="E294" s="6">
        <v>523</v>
      </c>
      <c r="F294" s="6">
        <v>110402.56405353729</v>
      </c>
      <c r="G294" s="6">
        <v>57740541</v>
      </c>
      <c r="H294" s="6">
        <v>13765269</v>
      </c>
      <c r="I294" s="6">
        <f t="shared" si="4"/>
        <v>0</v>
      </c>
      <c r="J294" t="str" cm="1">
        <f t="array" ref="J294">_xlfn.IFS(
AND(I294&gt;=89,I294&lt;=92),"D-90",
AND(I294&gt;=58,I294&lt;=62),"D-60",
AND(I294&gt;=28,I294&lt;=32),"D-30",
AND(I294=0),"당월",
TRUE,"그외")</f>
        <v>당월</v>
      </c>
    </row>
    <row r="295" spans="1:10" ht="17.649999999999999" customHeight="1" x14ac:dyDescent="0.3">
      <c r="A295" s="4">
        <v>45566</v>
      </c>
      <c r="B295" s="5" t="s">
        <v>13</v>
      </c>
      <c r="C295" s="4">
        <v>45352</v>
      </c>
      <c r="D295" s="5" t="s">
        <v>10</v>
      </c>
      <c r="E295" s="6">
        <v>36</v>
      </c>
      <c r="F295" s="6">
        <v>266804.19444444438</v>
      </c>
      <c r="G295" s="6">
        <v>9604951</v>
      </c>
      <c r="H295" s="6">
        <v>1584951</v>
      </c>
      <c r="I295" s="6">
        <f t="shared" si="4"/>
        <v>214</v>
      </c>
      <c r="J295" t="str" cm="1">
        <f t="array" ref="J295">_xlfn.IFS(
AND(I295&gt;=89,I295&lt;=92),"D-90",
AND(I295&gt;=58,I295&lt;=62),"D-60",
AND(I295&gt;=28,I295&lt;=32),"D-30",
AND(I295=0),"당월",
TRUE,"그외")</f>
        <v>그외</v>
      </c>
    </row>
    <row r="296" spans="1:10" ht="17.649999999999999" customHeight="1" x14ac:dyDescent="0.3">
      <c r="A296" s="4">
        <v>45566</v>
      </c>
      <c r="B296" s="5" t="s">
        <v>13</v>
      </c>
      <c r="C296" s="4">
        <v>45383</v>
      </c>
      <c r="D296" s="5" t="s">
        <v>10</v>
      </c>
      <c r="E296" s="6">
        <v>174</v>
      </c>
      <c r="F296" s="6">
        <v>243473.5632183908</v>
      </c>
      <c r="G296" s="6">
        <v>42364400</v>
      </c>
      <c r="H296" s="6">
        <v>7621200</v>
      </c>
      <c r="I296" s="6">
        <f t="shared" si="4"/>
        <v>183</v>
      </c>
      <c r="J296" t="str" cm="1">
        <f t="array" ref="J296">_xlfn.IFS(
AND(I296&gt;=89,I296&lt;=92),"D-90",
AND(I296&gt;=58,I296&lt;=62),"D-60",
AND(I296&gt;=28,I296&lt;=32),"D-30",
AND(I296=0),"당월",
TRUE,"그외")</f>
        <v>그외</v>
      </c>
    </row>
    <row r="297" spans="1:10" ht="17.649999999999999" customHeight="1" x14ac:dyDescent="0.3">
      <c r="A297" s="4">
        <v>45566</v>
      </c>
      <c r="B297" s="5" t="s">
        <v>13</v>
      </c>
      <c r="C297" s="4">
        <v>45413</v>
      </c>
      <c r="D297" s="5" t="s">
        <v>9</v>
      </c>
      <c r="E297" s="6">
        <v>26</v>
      </c>
      <c r="F297" s="6">
        <v>264500</v>
      </c>
      <c r="G297" s="6">
        <v>6877000</v>
      </c>
      <c r="H297" s="6">
        <v>1157000</v>
      </c>
      <c r="I297" s="6">
        <f t="shared" si="4"/>
        <v>153</v>
      </c>
      <c r="J297" t="str" cm="1">
        <f t="array" ref="J297">_xlfn.IFS(
AND(I297&gt;=89,I297&lt;=92),"D-90",
AND(I297&gt;=58,I297&lt;=62),"D-60",
AND(I297&gt;=28,I297&lt;=32),"D-30",
AND(I297=0),"당월",
TRUE,"그외")</f>
        <v>그외</v>
      </c>
    </row>
    <row r="298" spans="1:10" ht="17.649999999999999" customHeight="1" x14ac:dyDescent="0.3">
      <c r="A298" s="4">
        <v>45566</v>
      </c>
      <c r="B298" s="5" t="s">
        <v>13</v>
      </c>
      <c r="C298" s="4">
        <v>45413</v>
      </c>
      <c r="D298" s="5" t="s">
        <v>10</v>
      </c>
      <c r="E298" s="6">
        <v>60</v>
      </c>
      <c r="F298" s="6">
        <v>249415.16666666669</v>
      </c>
      <c r="G298" s="6">
        <v>14964910</v>
      </c>
      <c r="H298" s="6">
        <v>2670910</v>
      </c>
      <c r="I298" s="6">
        <f t="shared" si="4"/>
        <v>153</v>
      </c>
      <c r="J298" t="str" cm="1">
        <f t="array" ref="J298">_xlfn.IFS(
AND(I298&gt;=89,I298&lt;=92),"D-90",
AND(I298&gt;=58,I298&lt;=62),"D-60",
AND(I298&gt;=28,I298&lt;=32),"D-30",
AND(I298=0),"당월",
TRUE,"그외")</f>
        <v>그외</v>
      </c>
    </row>
    <row r="299" spans="1:10" ht="17.649999999999999" customHeight="1" x14ac:dyDescent="0.3">
      <c r="A299" s="4">
        <v>45566</v>
      </c>
      <c r="B299" s="5" t="s">
        <v>13</v>
      </c>
      <c r="C299" s="4">
        <v>45444</v>
      </c>
      <c r="D299" s="5" t="s">
        <v>9</v>
      </c>
      <c r="E299" s="6">
        <v>70</v>
      </c>
      <c r="F299" s="6">
        <v>215800</v>
      </c>
      <c r="G299" s="6">
        <v>15106000</v>
      </c>
      <c r="H299" s="6">
        <v>2786000</v>
      </c>
      <c r="I299" s="6">
        <f t="shared" si="4"/>
        <v>122</v>
      </c>
      <c r="J299" t="str" cm="1">
        <f t="array" ref="J299">_xlfn.IFS(
AND(I299&gt;=89,I299&lt;=92),"D-90",
AND(I299&gt;=58,I299&lt;=62),"D-60",
AND(I299&gt;=28,I299&lt;=32),"D-30",
AND(I299=0),"당월",
TRUE,"그외")</f>
        <v>그외</v>
      </c>
    </row>
    <row r="300" spans="1:10" ht="17.649999999999999" customHeight="1" x14ac:dyDescent="0.3">
      <c r="A300" s="4">
        <v>45566</v>
      </c>
      <c r="B300" s="5" t="s">
        <v>13</v>
      </c>
      <c r="C300" s="4">
        <v>45444</v>
      </c>
      <c r="D300" s="5" t="s">
        <v>10</v>
      </c>
      <c r="E300" s="6">
        <v>52</v>
      </c>
      <c r="F300" s="6">
        <v>233880.73076923081</v>
      </c>
      <c r="G300" s="6">
        <v>12161798</v>
      </c>
      <c r="H300" s="6">
        <v>2084668</v>
      </c>
      <c r="I300" s="6">
        <f t="shared" si="4"/>
        <v>122</v>
      </c>
      <c r="J300" t="str" cm="1">
        <f t="array" ref="J300">_xlfn.IFS(
AND(I300&gt;=89,I300&lt;=92),"D-90",
AND(I300&gt;=58,I300&lt;=62),"D-60",
AND(I300&gt;=28,I300&lt;=32),"D-30",
AND(I300=0),"당월",
TRUE,"그외")</f>
        <v>그외</v>
      </c>
    </row>
    <row r="301" spans="1:10" ht="17.649999999999999" customHeight="1" x14ac:dyDescent="0.3">
      <c r="A301" s="4">
        <v>45566</v>
      </c>
      <c r="B301" s="5" t="s">
        <v>13</v>
      </c>
      <c r="C301" s="4">
        <v>45474</v>
      </c>
      <c r="D301" s="5" t="s">
        <v>9</v>
      </c>
      <c r="E301" s="6">
        <v>457</v>
      </c>
      <c r="F301" s="6">
        <v>183597.81181619261</v>
      </c>
      <c r="G301" s="6">
        <v>83904200</v>
      </c>
      <c r="H301" s="6">
        <v>16269200</v>
      </c>
      <c r="I301" s="6">
        <f t="shared" si="4"/>
        <v>92</v>
      </c>
      <c r="J301" t="str" cm="1">
        <f t="array" ref="J301">_xlfn.IFS(
AND(I301&gt;=89,I301&lt;=92),"D-90",
AND(I301&gt;=58,I301&lt;=62),"D-60",
AND(I301&gt;=28,I301&lt;=32),"D-30",
AND(I301=0),"당월",
TRUE,"그외")</f>
        <v>D-90</v>
      </c>
    </row>
    <row r="302" spans="1:10" ht="17.649999999999999" customHeight="1" x14ac:dyDescent="0.3">
      <c r="A302" s="4">
        <v>45566</v>
      </c>
      <c r="B302" s="5" t="s">
        <v>13</v>
      </c>
      <c r="C302" s="4">
        <v>45474</v>
      </c>
      <c r="D302" s="5" t="s">
        <v>10</v>
      </c>
      <c r="E302" s="6">
        <v>918</v>
      </c>
      <c r="F302" s="6">
        <v>188185.3376906318</v>
      </c>
      <c r="G302" s="6">
        <v>172754140</v>
      </c>
      <c r="H302" s="6">
        <v>32752246</v>
      </c>
      <c r="I302" s="6">
        <f t="shared" si="4"/>
        <v>92</v>
      </c>
      <c r="J302" t="str" cm="1">
        <f t="array" ref="J302">_xlfn.IFS(
AND(I302&gt;=89,I302&lt;=92),"D-90",
AND(I302&gt;=58,I302&lt;=62),"D-60",
AND(I302&gt;=28,I302&lt;=32),"D-30",
AND(I302=0),"당월",
TRUE,"그외")</f>
        <v>D-90</v>
      </c>
    </row>
    <row r="303" spans="1:10" ht="17.649999999999999" customHeight="1" x14ac:dyDescent="0.3">
      <c r="A303" s="4">
        <v>45566</v>
      </c>
      <c r="B303" s="5" t="s">
        <v>13</v>
      </c>
      <c r="C303" s="4">
        <v>45505</v>
      </c>
      <c r="D303" s="5" t="s">
        <v>9</v>
      </c>
      <c r="E303" s="6">
        <v>366</v>
      </c>
      <c r="F303" s="6">
        <v>171643.71584699451</v>
      </c>
      <c r="G303" s="6">
        <v>62821600</v>
      </c>
      <c r="H303" s="6">
        <v>14676600</v>
      </c>
      <c r="I303" s="6">
        <f t="shared" si="4"/>
        <v>61</v>
      </c>
      <c r="J303" t="str" cm="1">
        <f t="array" ref="J303">_xlfn.IFS(
AND(I303&gt;=89,I303&lt;=92),"D-90",
AND(I303&gt;=58,I303&lt;=62),"D-60",
AND(I303&gt;=28,I303&lt;=32),"D-30",
AND(I303=0),"당월",
TRUE,"그외")</f>
        <v>D-60</v>
      </c>
    </row>
    <row r="304" spans="1:10" ht="17.649999999999999" customHeight="1" x14ac:dyDescent="0.3">
      <c r="A304" s="4">
        <v>45566</v>
      </c>
      <c r="B304" s="5" t="s">
        <v>13</v>
      </c>
      <c r="C304" s="4">
        <v>45505</v>
      </c>
      <c r="D304" s="5" t="s">
        <v>10</v>
      </c>
      <c r="E304" s="6">
        <v>1367</v>
      </c>
      <c r="F304" s="6">
        <v>174723.2531089978</v>
      </c>
      <c r="G304" s="6">
        <v>238846687</v>
      </c>
      <c r="H304" s="6">
        <v>54449851</v>
      </c>
      <c r="I304" s="6">
        <f t="shared" si="4"/>
        <v>61</v>
      </c>
      <c r="J304" t="str" cm="1">
        <f t="array" ref="J304">_xlfn.IFS(
AND(I304&gt;=89,I304&lt;=92),"D-90",
AND(I304&gt;=58,I304&lt;=62),"D-60",
AND(I304&gt;=28,I304&lt;=32),"D-30",
AND(I304=0),"당월",
TRUE,"그외")</f>
        <v>D-60</v>
      </c>
    </row>
    <row r="305" spans="1:10" ht="17.649999999999999" customHeight="1" x14ac:dyDescent="0.3">
      <c r="A305" s="4">
        <v>45566</v>
      </c>
      <c r="B305" s="5" t="s">
        <v>13</v>
      </c>
      <c r="C305" s="4">
        <v>45536</v>
      </c>
      <c r="D305" s="5" t="s">
        <v>9</v>
      </c>
      <c r="E305" s="6">
        <v>1037</v>
      </c>
      <c r="F305" s="6">
        <v>185136.5477338476</v>
      </c>
      <c r="G305" s="6">
        <v>191986600</v>
      </c>
      <c r="H305" s="6">
        <v>37124600</v>
      </c>
      <c r="I305" s="6">
        <f t="shared" si="4"/>
        <v>30</v>
      </c>
      <c r="J305" t="str" cm="1">
        <f t="array" ref="J305">_xlfn.IFS(
AND(I305&gt;=89,I305&lt;=92),"D-90",
AND(I305&gt;=58,I305&lt;=62),"D-60",
AND(I305&gt;=28,I305&lt;=32),"D-30",
AND(I305=0),"당월",
TRUE,"그외")</f>
        <v>D-30</v>
      </c>
    </row>
    <row r="306" spans="1:10" ht="17.649999999999999" customHeight="1" x14ac:dyDescent="0.3">
      <c r="A306" s="4">
        <v>45566</v>
      </c>
      <c r="B306" s="5" t="s">
        <v>13</v>
      </c>
      <c r="C306" s="4">
        <v>45536</v>
      </c>
      <c r="D306" s="5" t="s">
        <v>10</v>
      </c>
      <c r="E306" s="6">
        <v>1627</v>
      </c>
      <c r="F306" s="6">
        <v>162636.1450522434</v>
      </c>
      <c r="G306" s="6">
        <v>264609008</v>
      </c>
      <c r="H306" s="6">
        <v>58488253</v>
      </c>
      <c r="I306" s="6">
        <f t="shared" si="4"/>
        <v>30</v>
      </c>
      <c r="J306" t="str" cm="1">
        <f t="array" ref="J306">_xlfn.IFS(
AND(I306&gt;=89,I306&lt;=92),"D-90",
AND(I306&gt;=58,I306&lt;=62),"D-60",
AND(I306&gt;=28,I306&lt;=32),"D-30",
AND(I306=0),"당월",
TRUE,"그외")</f>
        <v>D-30</v>
      </c>
    </row>
    <row r="307" spans="1:10" ht="17.649999999999999" customHeight="1" x14ac:dyDescent="0.3">
      <c r="A307" s="4">
        <v>45566</v>
      </c>
      <c r="B307" s="5" t="s">
        <v>13</v>
      </c>
      <c r="C307" s="4">
        <v>45566</v>
      </c>
      <c r="D307" s="5" t="s">
        <v>9</v>
      </c>
      <c r="E307" s="6">
        <v>745</v>
      </c>
      <c r="F307" s="6">
        <v>130902.5503355705</v>
      </c>
      <c r="G307" s="6">
        <v>97522400</v>
      </c>
      <c r="H307" s="6">
        <v>18985400</v>
      </c>
      <c r="I307" s="6">
        <f t="shared" si="4"/>
        <v>0</v>
      </c>
      <c r="J307" t="str" cm="1">
        <f t="array" ref="J307">_xlfn.IFS(
AND(I307&gt;=89,I307&lt;=92),"D-90",
AND(I307&gt;=58,I307&lt;=62),"D-60",
AND(I307&gt;=28,I307&lt;=32),"D-30",
AND(I307=0),"당월",
TRUE,"그외")</f>
        <v>당월</v>
      </c>
    </row>
    <row r="308" spans="1:10" ht="17.649999999999999" customHeight="1" x14ac:dyDescent="0.3">
      <c r="A308" s="4">
        <v>45566</v>
      </c>
      <c r="B308" s="5" t="s">
        <v>13</v>
      </c>
      <c r="C308" s="4">
        <v>45566</v>
      </c>
      <c r="D308" s="5" t="s">
        <v>10</v>
      </c>
      <c r="E308" s="6">
        <v>1181</v>
      </c>
      <c r="F308" s="6">
        <v>108010.51397121081</v>
      </c>
      <c r="G308" s="6">
        <v>127560417</v>
      </c>
      <c r="H308" s="6">
        <v>32590888</v>
      </c>
      <c r="I308" s="6">
        <f t="shared" si="4"/>
        <v>0</v>
      </c>
      <c r="J308" t="str" cm="1">
        <f t="array" ref="J308">_xlfn.IFS(
AND(I308&gt;=89,I308&lt;=92),"D-90",
AND(I308&gt;=58,I308&lt;=62),"D-60",
AND(I308&gt;=28,I308&lt;=32),"D-30",
AND(I308=0),"당월",
TRUE,"그외")</f>
        <v>당월</v>
      </c>
    </row>
    <row r="309" spans="1:10" ht="17.649999999999999" customHeight="1" x14ac:dyDescent="0.3">
      <c r="A309" s="4">
        <v>45597</v>
      </c>
      <c r="B309" s="5" t="s">
        <v>8</v>
      </c>
      <c r="C309" s="4">
        <v>45536</v>
      </c>
      <c r="D309" s="5" t="s">
        <v>9</v>
      </c>
      <c r="E309" s="6">
        <v>360</v>
      </c>
      <c r="F309" s="6">
        <v>149561.11111111109</v>
      </c>
      <c r="G309" s="6">
        <v>53842000</v>
      </c>
      <c r="H309" s="6">
        <v>12888000</v>
      </c>
      <c r="I309" s="6">
        <f t="shared" si="4"/>
        <v>61</v>
      </c>
      <c r="J309" t="str" cm="1">
        <f t="array" ref="J309">_xlfn.IFS(
AND(I309&gt;=89,I309&lt;=92),"D-90",
AND(I309&gt;=58,I309&lt;=62),"D-60",
AND(I309&gt;=28,I309&lt;=32),"D-30",
AND(I309=0),"당월",
TRUE,"그외")</f>
        <v>D-60</v>
      </c>
    </row>
    <row r="310" spans="1:10" ht="17.649999999999999" customHeight="1" x14ac:dyDescent="0.3">
      <c r="A310" s="4">
        <v>45597</v>
      </c>
      <c r="B310" s="5" t="s">
        <v>8</v>
      </c>
      <c r="C310" s="4">
        <v>45536</v>
      </c>
      <c r="D310" s="5" t="s">
        <v>10</v>
      </c>
      <c r="E310" s="6">
        <v>589</v>
      </c>
      <c r="F310" s="6">
        <v>170902.22920203739</v>
      </c>
      <c r="G310" s="6">
        <v>100661413</v>
      </c>
      <c r="H310" s="6">
        <v>20801416</v>
      </c>
      <c r="I310" s="6">
        <f t="shared" si="4"/>
        <v>61</v>
      </c>
      <c r="J310" t="str" cm="1">
        <f t="array" ref="J310">_xlfn.IFS(
AND(I310&gt;=89,I310&lt;=92),"D-90",
AND(I310&gt;=58,I310&lt;=62),"D-60",
AND(I310&gt;=28,I310&lt;=32),"D-30",
AND(I310=0),"당월",
TRUE,"그외")</f>
        <v>D-60</v>
      </c>
    </row>
    <row r="311" spans="1:10" ht="17.649999999999999" customHeight="1" x14ac:dyDescent="0.3">
      <c r="A311" s="4">
        <v>45597</v>
      </c>
      <c r="B311" s="5" t="s">
        <v>8</v>
      </c>
      <c r="C311" s="4">
        <v>45566</v>
      </c>
      <c r="D311" s="5" t="s">
        <v>9</v>
      </c>
      <c r="E311" s="6">
        <v>3430</v>
      </c>
      <c r="F311" s="6">
        <v>129503.4985422741</v>
      </c>
      <c r="G311" s="6">
        <v>444197000</v>
      </c>
      <c r="H311" s="6">
        <v>87122000</v>
      </c>
      <c r="I311" s="6">
        <f t="shared" si="4"/>
        <v>31</v>
      </c>
      <c r="J311" t="str" cm="1">
        <f t="array" ref="J311">_xlfn.IFS(
AND(I311&gt;=89,I311&lt;=92),"D-90",
AND(I311&gt;=58,I311&lt;=62),"D-60",
AND(I311&gt;=28,I311&lt;=32),"D-30",
AND(I311=0),"당월",
TRUE,"그외")</f>
        <v>D-30</v>
      </c>
    </row>
    <row r="312" spans="1:10" ht="17.649999999999999" customHeight="1" x14ac:dyDescent="0.3">
      <c r="A312" s="4">
        <v>45597</v>
      </c>
      <c r="B312" s="5" t="s">
        <v>8</v>
      </c>
      <c r="C312" s="4">
        <v>45566</v>
      </c>
      <c r="D312" s="5" t="s">
        <v>10</v>
      </c>
      <c r="E312" s="6">
        <v>3259</v>
      </c>
      <c r="F312" s="6">
        <v>106096.0871432955</v>
      </c>
      <c r="G312" s="6">
        <v>345767148</v>
      </c>
      <c r="H312" s="6">
        <v>83894030</v>
      </c>
      <c r="I312" s="6">
        <f t="shared" si="4"/>
        <v>31</v>
      </c>
      <c r="J312" t="str" cm="1">
        <f t="array" ref="J312">_xlfn.IFS(
AND(I312&gt;=89,I312&lt;=92),"D-90",
AND(I312&gt;=58,I312&lt;=62),"D-60",
AND(I312&gt;=28,I312&lt;=32),"D-30",
AND(I312=0),"당월",
TRUE,"그외")</f>
        <v>D-30</v>
      </c>
    </row>
    <row r="313" spans="1:10" ht="17.649999999999999" customHeight="1" x14ac:dyDescent="0.3">
      <c r="A313" s="4">
        <v>45597</v>
      </c>
      <c r="B313" s="5" t="s">
        <v>8</v>
      </c>
      <c r="C313" s="4">
        <v>45597</v>
      </c>
      <c r="D313" s="5" t="s">
        <v>9</v>
      </c>
      <c r="E313" s="6">
        <v>1717</v>
      </c>
      <c r="F313" s="6">
        <v>131404.54280722191</v>
      </c>
      <c r="G313" s="6">
        <v>225621600</v>
      </c>
      <c r="H313" s="6">
        <v>43632600</v>
      </c>
      <c r="I313" s="6">
        <f t="shared" si="4"/>
        <v>0</v>
      </c>
      <c r="J313" t="str" cm="1">
        <f t="array" ref="J313">_xlfn.IFS(
AND(I313&gt;=89,I313&lt;=92),"D-90",
AND(I313&gt;=58,I313&lt;=62),"D-60",
AND(I313&gt;=28,I313&lt;=32),"D-30",
AND(I313=0),"당월",
TRUE,"그외")</f>
        <v>당월</v>
      </c>
    </row>
    <row r="314" spans="1:10" ht="17.649999999999999" customHeight="1" x14ac:dyDescent="0.3">
      <c r="A314" s="4">
        <v>45597</v>
      </c>
      <c r="B314" s="5" t="s">
        <v>8</v>
      </c>
      <c r="C314" s="4">
        <v>45597</v>
      </c>
      <c r="D314" s="5" t="s">
        <v>10</v>
      </c>
      <c r="E314" s="6">
        <v>1126</v>
      </c>
      <c r="F314" s="6">
        <v>137894.16785079931</v>
      </c>
      <c r="G314" s="6">
        <v>155268833</v>
      </c>
      <c r="H314" s="6">
        <v>30525935</v>
      </c>
      <c r="I314" s="6">
        <f t="shared" si="4"/>
        <v>0</v>
      </c>
      <c r="J314" t="str" cm="1">
        <f t="array" ref="J314">_xlfn.IFS(
AND(I314&gt;=89,I314&lt;=92),"D-90",
AND(I314&gt;=58,I314&lt;=62),"D-60",
AND(I314&gt;=28,I314&lt;=32),"D-30",
AND(I314=0),"당월",
TRUE,"그외")</f>
        <v>당월</v>
      </c>
    </row>
    <row r="315" spans="1:10" ht="17.649999999999999" customHeight="1" x14ac:dyDescent="0.3">
      <c r="A315" s="4">
        <v>45597</v>
      </c>
      <c r="B315" s="5" t="s">
        <v>11</v>
      </c>
      <c r="C315" s="4">
        <v>45505</v>
      </c>
      <c r="D315" s="5" t="s">
        <v>9</v>
      </c>
      <c r="E315" s="6">
        <v>92</v>
      </c>
      <c r="F315" s="6">
        <v>172752.17391304349</v>
      </c>
      <c r="G315" s="6">
        <v>15893200</v>
      </c>
      <c r="H315" s="6">
        <v>3689200</v>
      </c>
      <c r="I315" s="6">
        <f t="shared" si="4"/>
        <v>92</v>
      </c>
      <c r="J315" t="str" cm="1">
        <f t="array" ref="J315">_xlfn.IFS(
AND(I315&gt;=89,I315&lt;=92),"D-90",
AND(I315&gt;=58,I315&lt;=62),"D-60",
AND(I315&gt;=28,I315&lt;=32),"D-30",
AND(I315=0),"당월",
TRUE,"그외")</f>
        <v>D-90</v>
      </c>
    </row>
    <row r="316" spans="1:10" ht="17.649999999999999" customHeight="1" x14ac:dyDescent="0.3">
      <c r="A316" s="4">
        <v>45597</v>
      </c>
      <c r="B316" s="5" t="s">
        <v>11</v>
      </c>
      <c r="C316" s="4">
        <v>45505</v>
      </c>
      <c r="D316" s="5" t="s">
        <v>10</v>
      </c>
      <c r="E316" s="6">
        <v>1778</v>
      </c>
      <c r="F316" s="6">
        <v>167474.54724409449</v>
      </c>
      <c r="G316" s="6">
        <v>297769745</v>
      </c>
      <c r="H316" s="6">
        <v>71298709</v>
      </c>
      <c r="I316" s="6">
        <f t="shared" si="4"/>
        <v>92</v>
      </c>
      <c r="J316" t="str" cm="1">
        <f t="array" ref="J316">_xlfn.IFS(
AND(I316&gt;=89,I316&lt;=92),"D-90",
AND(I316&gt;=58,I316&lt;=62),"D-60",
AND(I316&gt;=28,I316&lt;=32),"D-30",
AND(I316=0),"당월",
TRUE,"그외")</f>
        <v>D-90</v>
      </c>
    </row>
    <row r="317" spans="1:10" ht="17.649999999999999" customHeight="1" x14ac:dyDescent="0.3">
      <c r="A317" s="4">
        <v>45597</v>
      </c>
      <c r="B317" s="5" t="s">
        <v>11</v>
      </c>
      <c r="C317" s="4">
        <v>45536</v>
      </c>
      <c r="D317" s="5" t="s">
        <v>9</v>
      </c>
      <c r="E317" s="6">
        <v>1821</v>
      </c>
      <c r="F317" s="6">
        <v>165357.9352004393</v>
      </c>
      <c r="G317" s="6">
        <v>301116800</v>
      </c>
      <c r="H317" s="6">
        <v>65191800</v>
      </c>
      <c r="I317" s="6">
        <f t="shared" si="4"/>
        <v>61</v>
      </c>
      <c r="J317" t="str" cm="1">
        <f t="array" ref="J317">_xlfn.IFS(
AND(I317&gt;=89,I317&lt;=92),"D-90",
AND(I317&gt;=58,I317&lt;=62),"D-60",
AND(I317&gt;=28,I317&lt;=32),"D-30",
AND(I317=0),"당월",
TRUE,"그외")</f>
        <v>D-60</v>
      </c>
    </row>
    <row r="318" spans="1:10" ht="17.649999999999999" customHeight="1" x14ac:dyDescent="0.3">
      <c r="A318" s="4">
        <v>45597</v>
      </c>
      <c r="B318" s="5" t="s">
        <v>11</v>
      </c>
      <c r="C318" s="4">
        <v>45536</v>
      </c>
      <c r="D318" s="5" t="s">
        <v>10</v>
      </c>
      <c r="E318" s="6">
        <v>1467</v>
      </c>
      <c r="F318" s="6">
        <v>176294.26039536469</v>
      </c>
      <c r="G318" s="6">
        <v>258623680</v>
      </c>
      <c r="H318" s="6">
        <v>52547740</v>
      </c>
      <c r="I318" s="6">
        <f t="shared" si="4"/>
        <v>61</v>
      </c>
      <c r="J318" t="str" cm="1">
        <f t="array" ref="J318">_xlfn.IFS(
AND(I318&gt;=89,I318&lt;=92),"D-90",
AND(I318&gt;=58,I318&lt;=62),"D-60",
AND(I318&gt;=28,I318&lt;=32),"D-30",
AND(I318=0),"당월",
TRUE,"그외")</f>
        <v>D-60</v>
      </c>
    </row>
    <row r="319" spans="1:10" ht="17.649999999999999" customHeight="1" x14ac:dyDescent="0.3">
      <c r="A319" s="4">
        <v>45597</v>
      </c>
      <c r="B319" s="5" t="s">
        <v>11</v>
      </c>
      <c r="C319" s="4">
        <v>45566</v>
      </c>
      <c r="D319" s="5" t="s">
        <v>9</v>
      </c>
      <c r="E319" s="6">
        <v>1600</v>
      </c>
      <c r="F319" s="6">
        <v>148798.42499999999</v>
      </c>
      <c r="G319" s="6">
        <v>238077480</v>
      </c>
      <c r="H319" s="6">
        <v>41017060</v>
      </c>
      <c r="I319" s="6">
        <f t="shared" si="4"/>
        <v>31</v>
      </c>
      <c r="J319" t="str" cm="1">
        <f t="array" ref="J319">_xlfn.IFS(
AND(I319&gt;=89,I319&lt;=92),"D-90",
AND(I319&gt;=58,I319&lt;=62),"D-60",
AND(I319&gt;=28,I319&lt;=32),"D-30",
AND(I319=0),"당월",
TRUE,"그외")</f>
        <v>D-30</v>
      </c>
    </row>
    <row r="320" spans="1:10" ht="17.649999999999999" customHeight="1" x14ac:dyDescent="0.3">
      <c r="A320" s="4">
        <v>45597</v>
      </c>
      <c r="B320" s="5" t="s">
        <v>11</v>
      </c>
      <c r="C320" s="4">
        <v>45566</v>
      </c>
      <c r="D320" s="5" t="s">
        <v>10</v>
      </c>
      <c r="E320" s="6">
        <v>1442</v>
      </c>
      <c r="F320" s="6">
        <v>170939.4549237171</v>
      </c>
      <c r="G320" s="6">
        <v>246494694</v>
      </c>
      <c r="H320" s="6">
        <v>37120359</v>
      </c>
      <c r="I320" s="6">
        <f t="shared" si="4"/>
        <v>31</v>
      </c>
      <c r="J320" t="str" cm="1">
        <f t="array" ref="J320">_xlfn.IFS(
AND(I320&gt;=89,I320&lt;=92),"D-90",
AND(I320&gt;=58,I320&lt;=62),"D-60",
AND(I320&gt;=28,I320&lt;=32),"D-30",
AND(I320=0),"당월",
TRUE,"그외")</f>
        <v>D-30</v>
      </c>
    </row>
    <row r="321" spans="1:10" ht="17.649999999999999" customHeight="1" x14ac:dyDescent="0.3">
      <c r="A321" s="4">
        <v>45597</v>
      </c>
      <c r="B321" s="5" t="s">
        <v>11</v>
      </c>
      <c r="C321" s="4">
        <v>45597</v>
      </c>
      <c r="D321" s="5" t="s">
        <v>9</v>
      </c>
      <c r="E321" s="6">
        <v>401</v>
      </c>
      <c r="F321" s="6">
        <v>186306.7331670823</v>
      </c>
      <c r="G321" s="6">
        <v>74709000</v>
      </c>
      <c r="H321" s="6">
        <v>10227000</v>
      </c>
      <c r="I321" s="6">
        <f t="shared" si="4"/>
        <v>0</v>
      </c>
      <c r="J321" t="str" cm="1">
        <f t="array" ref="J321">_xlfn.IFS(
AND(I321&gt;=89,I321&lt;=92),"D-90",
AND(I321&gt;=58,I321&lt;=62),"D-60",
AND(I321&gt;=28,I321&lt;=32),"D-30",
AND(I321=0),"당월",
TRUE,"그외")</f>
        <v>당월</v>
      </c>
    </row>
    <row r="322" spans="1:10" ht="17.649999999999999" customHeight="1" x14ac:dyDescent="0.3">
      <c r="A322" s="4">
        <v>45597</v>
      </c>
      <c r="B322" s="5" t="s">
        <v>11</v>
      </c>
      <c r="C322" s="4">
        <v>45597</v>
      </c>
      <c r="D322" s="5" t="s">
        <v>10</v>
      </c>
      <c r="E322" s="6">
        <v>853</v>
      </c>
      <c r="F322" s="6">
        <v>177634.06213364599</v>
      </c>
      <c r="G322" s="6">
        <v>151521855</v>
      </c>
      <c r="H322" s="6">
        <v>22727529</v>
      </c>
      <c r="I322" s="6">
        <f t="shared" si="4"/>
        <v>0</v>
      </c>
      <c r="J322" t="str" cm="1">
        <f t="array" ref="J322">_xlfn.IFS(
AND(I322&gt;=89,I322&lt;=92),"D-90",
AND(I322&gt;=58,I322&lt;=62),"D-60",
AND(I322&gt;=28,I322&lt;=32),"D-30",
AND(I322=0),"당월",
TRUE,"그외")</f>
        <v>당월</v>
      </c>
    </row>
    <row r="323" spans="1:10" ht="17.649999999999999" customHeight="1" x14ac:dyDescent="0.3">
      <c r="A323" s="4">
        <v>45597</v>
      </c>
      <c r="B323" s="5" t="s">
        <v>12</v>
      </c>
      <c r="C323" s="4">
        <v>45505</v>
      </c>
      <c r="D323" s="5" t="s">
        <v>10</v>
      </c>
      <c r="E323" s="6">
        <v>194</v>
      </c>
      <c r="F323" s="6">
        <v>200238.6649484536</v>
      </c>
      <c r="G323" s="6">
        <v>38846301</v>
      </c>
      <c r="H323" s="6">
        <v>7800111</v>
      </c>
      <c r="I323" s="6">
        <f t="shared" ref="I323:I386" si="5">A323-C323</f>
        <v>92</v>
      </c>
      <c r="J323" t="str" cm="1">
        <f t="array" ref="J323">_xlfn.IFS(
AND(I323&gt;=89,I323&lt;=92),"D-90",
AND(I323&gt;=58,I323&lt;=62),"D-60",
AND(I323&gt;=28,I323&lt;=32),"D-30",
AND(I323=0),"당월",
TRUE,"그외")</f>
        <v>D-90</v>
      </c>
    </row>
    <row r="324" spans="1:10" ht="17.649999999999999" customHeight="1" x14ac:dyDescent="0.3">
      <c r="A324" s="4">
        <v>45597</v>
      </c>
      <c r="B324" s="5" t="s">
        <v>12</v>
      </c>
      <c r="C324" s="4">
        <v>45536</v>
      </c>
      <c r="D324" s="5" t="s">
        <v>9</v>
      </c>
      <c r="E324" s="6">
        <v>527</v>
      </c>
      <c r="F324" s="6">
        <v>193437.57115749529</v>
      </c>
      <c r="G324" s="6">
        <v>101941600</v>
      </c>
      <c r="H324" s="6">
        <v>18866600</v>
      </c>
      <c r="I324" s="6">
        <f t="shared" si="5"/>
        <v>61</v>
      </c>
      <c r="J324" t="str" cm="1">
        <f t="array" ref="J324">_xlfn.IFS(
AND(I324&gt;=89,I324&lt;=92),"D-90",
AND(I324&gt;=58,I324&lt;=62),"D-60",
AND(I324&gt;=28,I324&lt;=32),"D-30",
AND(I324=0),"당월",
TRUE,"그외")</f>
        <v>D-60</v>
      </c>
    </row>
    <row r="325" spans="1:10" ht="17.649999999999999" customHeight="1" x14ac:dyDescent="0.3">
      <c r="A325" s="4">
        <v>45597</v>
      </c>
      <c r="B325" s="5" t="s">
        <v>12</v>
      </c>
      <c r="C325" s="4">
        <v>45536</v>
      </c>
      <c r="D325" s="5" t="s">
        <v>10</v>
      </c>
      <c r="E325" s="6">
        <v>383</v>
      </c>
      <c r="F325" s="6">
        <v>158476.82506527411</v>
      </c>
      <c r="G325" s="6">
        <v>60696624</v>
      </c>
      <c r="H325" s="6">
        <v>13934437</v>
      </c>
      <c r="I325" s="6">
        <f t="shared" si="5"/>
        <v>61</v>
      </c>
      <c r="J325" t="str" cm="1">
        <f t="array" ref="J325">_xlfn.IFS(
AND(I325&gt;=89,I325&lt;=92),"D-90",
AND(I325&gt;=58,I325&lt;=62),"D-60",
AND(I325&gt;=28,I325&lt;=32),"D-30",
AND(I325=0),"당월",
TRUE,"그외")</f>
        <v>D-60</v>
      </c>
    </row>
    <row r="326" spans="1:10" ht="17.649999999999999" customHeight="1" x14ac:dyDescent="0.3">
      <c r="A326" s="4">
        <v>45597</v>
      </c>
      <c r="B326" s="5" t="s">
        <v>12</v>
      </c>
      <c r="C326" s="4">
        <v>45566</v>
      </c>
      <c r="D326" s="5" t="s">
        <v>9</v>
      </c>
      <c r="E326" s="6">
        <v>1521</v>
      </c>
      <c r="F326" s="6">
        <v>138855.22682445761</v>
      </c>
      <c r="G326" s="6">
        <v>211198800</v>
      </c>
      <c r="H326" s="6">
        <v>38633400</v>
      </c>
      <c r="I326" s="6">
        <f t="shared" si="5"/>
        <v>31</v>
      </c>
      <c r="J326" t="str" cm="1">
        <f t="array" ref="J326">_xlfn.IFS(
AND(I326&gt;=89,I326&lt;=92),"D-90",
AND(I326&gt;=58,I326&lt;=62),"D-60",
AND(I326&gt;=28,I326&lt;=32),"D-30",
AND(I326=0),"당월",
TRUE,"그외")</f>
        <v>D-30</v>
      </c>
    </row>
    <row r="327" spans="1:10" ht="17.649999999999999" customHeight="1" x14ac:dyDescent="0.3">
      <c r="A327" s="4">
        <v>45597</v>
      </c>
      <c r="B327" s="5" t="s">
        <v>12</v>
      </c>
      <c r="C327" s="4">
        <v>45566</v>
      </c>
      <c r="D327" s="5" t="s">
        <v>10</v>
      </c>
      <c r="E327" s="6">
        <v>1522</v>
      </c>
      <c r="F327" s="6">
        <v>113330.8285151117</v>
      </c>
      <c r="G327" s="6">
        <v>172489521</v>
      </c>
      <c r="H327" s="6">
        <v>40144712</v>
      </c>
      <c r="I327" s="6">
        <f t="shared" si="5"/>
        <v>31</v>
      </c>
      <c r="J327" t="str" cm="1">
        <f t="array" ref="J327">_xlfn.IFS(
AND(I327&gt;=89,I327&lt;=92),"D-90",
AND(I327&gt;=58,I327&lt;=62),"D-60",
AND(I327&gt;=28,I327&lt;=32),"D-30",
AND(I327=0),"당월",
TRUE,"그외")</f>
        <v>D-30</v>
      </c>
    </row>
    <row r="328" spans="1:10" ht="17.649999999999999" customHeight="1" x14ac:dyDescent="0.3">
      <c r="A328" s="4">
        <v>45597</v>
      </c>
      <c r="B328" s="5" t="s">
        <v>12</v>
      </c>
      <c r="C328" s="4">
        <v>45597</v>
      </c>
      <c r="D328" s="5" t="s">
        <v>9</v>
      </c>
      <c r="E328" s="6">
        <v>796</v>
      </c>
      <c r="F328" s="6">
        <v>127395.72864321611</v>
      </c>
      <c r="G328" s="6">
        <v>101407000</v>
      </c>
      <c r="H328" s="6">
        <v>20260000</v>
      </c>
      <c r="I328" s="6">
        <f t="shared" si="5"/>
        <v>0</v>
      </c>
      <c r="J328" t="str" cm="1">
        <f t="array" ref="J328">_xlfn.IFS(
AND(I328&gt;=89,I328&lt;=92),"D-90",
AND(I328&gt;=58,I328&lt;=62),"D-60",
AND(I328&gt;=28,I328&lt;=32),"D-30",
AND(I328=0),"당월",
TRUE,"그외")</f>
        <v>당월</v>
      </c>
    </row>
    <row r="329" spans="1:10" ht="17.649999999999999" customHeight="1" x14ac:dyDescent="0.3">
      <c r="A329" s="4">
        <v>45597</v>
      </c>
      <c r="B329" s="5" t="s">
        <v>12</v>
      </c>
      <c r="C329" s="4">
        <v>45597</v>
      </c>
      <c r="D329" s="5" t="s">
        <v>10</v>
      </c>
      <c r="E329" s="6">
        <v>296</v>
      </c>
      <c r="F329" s="6">
        <v>163057.4594594595</v>
      </c>
      <c r="G329" s="6">
        <v>48265008</v>
      </c>
      <c r="H329" s="6">
        <v>7829995</v>
      </c>
      <c r="I329" s="6">
        <f t="shared" si="5"/>
        <v>0</v>
      </c>
      <c r="J329" t="str" cm="1">
        <f t="array" ref="J329">_xlfn.IFS(
AND(I329&gt;=89,I329&lt;=92),"D-90",
AND(I329&gt;=58,I329&lt;=62),"D-60",
AND(I329&gt;=28,I329&lt;=32),"D-30",
AND(I329=0),"당월",
TRUE,"그외")</f>
        <v>당월</v>
      </c>
    </row>
    <row r="330" spans="1:10" ht="17.649999999999999" customHeight="1" x14ac:dyDescent="0.3">
      <c r="A330" s="4">
        <v>45597</v>
      </c>
      <c r="B330" s="5" t="s">
        <v>13</v>
      </c>
      <c r="C330" s="4">
        <v>45505</v>
      </c>
      <c r="D330" s="5" t="s">
        <v>10</v>
      </c>
      <c r="E330" s="6">
        <v>447</v>
      </c>
      <c r="F330" s="6">
        <v>176880.14988814321</v>
      </c>
      <c r="G330" s="6">
        <v>79065427</v>
      </c>
      <c r="H330" s="6">
        <v>17928421</v>
      </c>
      <c r="I330" s="6">
        <f t="shared" si="5"/>
        <v>92</v>
      </c>
      <c r="J330" t="str" cm="1">
        <f t="array" ref="J330">_xlfn.IFS(
AND(I330&gt;=89,I330&lt;=92),"D-90",
AND(I330&gt;=58,I330&lt;=62),"D-60",
AND(I330&gt;=28,I330&lt;=32),"D-30",
AND(I330=0),"당월",
TRUE,"그외")</f>
        <v>D-90</v>
      </c>
    </row>
    <row r="331" spans="1:10" ht="17.649999999999999" customHeight="1" x14ac:dyDescent="0.3">
      <c r="A331" s="4">
        <v>45597</v>
      </c>
      <c r="B331" s="5" t="s">
        <v>13</v>
      </c>
      <c r="C331" s="4">
        <v>45536</v>
      </c>
      <c r="D331" s="5" t="s">
        <v>9</v>
      </c>
      <c r="E331" s="6">
        <v>472</v>
      </c>
      <c r="F331" s="6">
        <v>194062.7118644068</v>
      </c>
      <c r="G331" s="6">
        <v>91597600</v>
      </c>
      <c r="H331" s="6">
        <v>16897600</v>
      </c>
      <c r="I331" s="6">
        <f t="shared" si="5"/>
        <v>61</v>
      </c>
      <c r="J331" t="str" cm="1">
        <f t="array" ref="J331">_xlfn.IFS(
AND(I331&gt;=89,I331&lt;=92),"D-90",
AND(I331&gt;=58,I331&lt;=62),"D-60",
AND(I331&gt;=28,I331&lt;=32),"D-30",
AND(I331=0),"당월",
TRUE,"그외")</f>
        <v>D-60</v>
      </c>
    </row>
    <row r="332" spans="1:10" ht="17.649999999999999" customHeight="1" x14ac:dyDescent="0.3">
      <c r="A332" s="4">
        <v>45597</v>
      </c>
      <c r="B332" s="5" t="s">
        <v>13</v>
      </c>
      <c r="C332" s="4">
        <v>45536</v>
      </c>
      <c r="D332" s="5" t="s">
        <v>10</v>
      </c>
      <c r="E332" s="6">
        <v>1111</v>
      </c>
      <c r="F332" s="6">
        <v>164395.29882988299</v>
      </c>
      <c r="G332" s="6">
        <v>182643177</v>
      </c>
      <c r="H332" s="6">
        <v>39742648</v>
      </c>
      <c r="I332" s="6">
        <f t="shared" si="5"/>
        <v>61</v>
      </c>
      <c r="J332" t="str" cm="1">
        <f t="array" ref="J332">_xlfn.IFS(
AND(I332&gt;=89,I332&lt;=92),"D-90",
AND(I332&gt;=58,I332&lt;=62),"D-60",
AND(I332&gt;=28,I332&lt;=32),"D-30",
AND(I332=0),"당월",
TRUE,"그외")</f>
        <v>D-60</v>
      </c>
    </row>
    <row r="333" spans="1:10" ht="17.649999999999999" customHeight="1" x14ac:dyDescent="0.3">
      <c r="A333" s="4">
        <v>45597</v>
      </c>
      <c r="B333" s="5" t="s">
        <v>13</v>
      </c>
      <c r="C333" s="4">
        <v>45566</v>
      </c>
      <c r="D333" s="5" t="s">
        <v>9</v>
      </c>
      <c r="E333" s="6">
        <v>1854</v>
      </c>
      <c r="F333" s="6">
        <v>112095.14563106799</v>
      </c>
      <c r="G333" s="6">
        <v>207824400</v>
      </c>
      <c r="H333" s="6">
        <v>47112400</v>
      </c>
      <c r="I333" s="6">
        <f t="shared" si="5"/>
        <v>31</v>
      </c>
      <c r="J333" t="str" cm="1">
        <f t="array" ref="J333">_xlfn.IFS(
AND(I333&gt;=89,I333&lt;=92),"D-90",
AND(I333&gt;=58,I333&lt;=62),"D-60",
AND(I333&gt;=28,I333&lt;=32),"D-30",
AND(I333=0),"당월",
TRUE,"그외")</f>
        <v>D-30</v>
      </c>
    </row>
    <row r="334" spans="1:10" ht="17.649999999999999" customHeight="1" x14ac:dyDescent="0.3">
      <c r="A334" s="4">
        <v>45597</v>
      </c>
      <c r="B334" s="5" t="s">
        <v>13</v>
      </c>
      <c r="C334" s="4">
        <v>45566</v>
      </c>
      <c r="D334" s="5" t="s">
        <v>10</v>
      </c>
      <c r="E334" s="6">
        <v>2563</v>
      </c>
      <c r="F334" s="6">
        <v>117223.93757315649</v>
      </c>
      <c r="G334" s="6">
        <v>300444952</v>
      </c>
      <c r="H334" s="6">
        <v>67392967</v>
      </c>
      <c r="I334" s="6">
        <f t="shared" si="5"/>
        <v>31</v>
      </c>
      <c r="J334" t="str" cm="1">
        <f t="array" ref="J334">_xlfn.IFS(
AND(I334&gt;=89,I334&lt;=92),"D-90",
AND(I334&gt;=58,I334&lt;=62),"D-60",
AND(I334&gt;=28,I334&lt;=32),"D-30",
AND(I334=0),"당월",
TRUE,"그외")</f>
        <v>D-30</v>
      </c>
    </row>
    <row r="335" spans="1:10" ht="17.649999999999999" customHeight="1" x14ac:dyDescent="0.3">
      <c r="A335" s="4">
        <v>45597</v>
      </c>
      <c r="B335" s="5" t="s">
        <v>13</v>
      </c>
      <c r="C335" s="4">
        <v>45597</v>
      </c>
      <c r="D335" s="5" t="s">
        <v>9</v>
      </c>
      <c r="E335" s="6">
        <v>1051</v>
      </c>
      <c r="F335" s="6">
        <v>107058.039961941</v>
      </c>
      <c r="G335" s="6">
        <v>112518000</v>
      </c>
      <c r="H335" s="6">
        <v>26737000</v>
      </c>
      <c r="I335" s="6">
        <f t="shared" si="5"/>
        <v>0</v>
      </c>
      <c r="J335" t="str" cm="1">
        <f t="array" ref="J335">_xlfn.IFS(
AND(I335&gt;=89,I335&lt;=92),"D-90",
AND(I335&gt;=58,I335&lt;=62),"D-60",
AND(I335&gt;=28,I335&lt;=32),"D-30",
AND(I335=0),"당월",
TRUE,"그외")</f>
        <v>당월</v>
      </c>
    </row>
    <row r="336" spans="1:10" ht="17.649999999999999" customHeight="1" x14ac:dyDescent="0.3">
      <c r="A336" s="4">
        <v>45597</v>
      </c>
      <c r="B336" s="5" t="s">
        <v>13</v>
      </c>
      <c r="C336" s="4">
        <v>45597</v>
      </c>
      <c r="D336" s="5" t="s">
        <v>10</v>
      </c>
      <c r="E336" s="6">
        <v>1199</v>
      </c>
      <c r="F336" s="6">
        <v>127999.5479566305</v>
      </c>
      <c r="G336" s="6">
        <v>153471458</v>
      </c>
      <c r="H336" s="6">
        <v>32154596</v>
      </c>
      <c r="I336" s="6">
        <f t="shared" si="5"/>
        <v>0</v>
      </c>
      <c r="J336" t="str" cm="1">
        <f t="array" ref="J336">_xlfn.IFS(
AND(I336&gt;=89,I336&lt;=92),"D-90",
AND(I336&gt;=58,I336&lt;=62),"D-60",
AND(I336&gt;=28,I336&lt;=32),"D-30",
AND(I336=0),"당월",
TRUE,"그외")</f>
        <v>당월</v>
      </c>
    </row>
    <row r="337" spans="1:10" ht="17.649999999999999" customHeight="1" x14ac:dyDescent="0.3">
      <c r="A337" s="4">
        <v>45627</v>
      </c>
      <c r="B337" s="5" t="s">
        <v>8</v>
      </c>
      <c r="C337" s="4">
        <v>45536</v>
      </c>
      <c r="D337" s="5" t="s">
        <v>9</v>
      </c>
      <c r="E337" s="6">
        <v>74</v>
      </c>
      <c r="F337" s="6">
        <v>167989.1891891892</v>
      </c>
      <c r="G337" s="6">
        <v>12431200</v>
      </c>
      <c r="H337" s="6">
        <v>2649200</v>
      </c>
      <c r="I337" s="6">
        <f t="shared" si="5"/>
        <v>91</v>
      </c>
      <c r="J337" t="str" cm="1">
        <f t="array" ref="J337">_xlfn.IFS(
AND(I337&gt;=89,I337&lt;=92),"D-90",
AND(I337&gt;=58,I337&lt;=62),"D-60",
AND(I337&gt;=28,I337&lt;=32),"D-30",
AND(I337=0),"당월",
TRUE,"그외")</f>
        <v>D-90</v>
      </c>
    </row>
    <row r="338" spans="1:10" ht="17.649999999999999" customHeight="1" x14ac:dyDescent="0.3">
      <c r="A338" s="4">
        <v>45627</v>
      </c>
      <c r="B338" s="5" t="s">
        <v>8</v>
      </c>
      <c r="C338" s="4">
        <v>45536</v>
      </c>
      <c r="D338" s="5" t="s">
        <v>10</v>
      </c>
      <c r="E338" s="6">
        <v>757</v>
      </c>
      <c r="F338" s="6">
        <v>202442.6644649934</v>
      </c>
      <c r="G338" s="6">
        <v>153249097</v>
      </c>
      <c r="H338" s="6">
        <v>26882281</v>
      </c>
      <c r="I338" s="6">
        <f t="shared" si="5"/>
        <v>91</v>
      </c>
      <c r="J338" t="str" cm="1">
        <f t="array" ref="J338">_xlfn.IFS(
AND(I338&gt;=89,I338&lt;=92),"D-90",
AND(I338&gt;=58,I338&lt;=62),"D-60",
AND(I338&gt;=28,I338&lt;=32),"D-30",
AND(I338=0),"당월",
TRUE,"그외")</f>
        <v>D-90</v>
      </c>
    </row>
    <row r="339" spans="1:10" ht="17.649999999999999" customHeight="1" x14ac:dyDescent="0.3">
      <c r="A339" s="4">
        <v>45627</v>
      </c>
      <c r="B339" s="5" t="s">
        <v>8</v>
      </c>
      <c r="C339" s="4">
        <v>45566</v>
      </c>
      <c r="D339" s="5" t="s">
        <v>9</v>
      </c>
      <c r="E339" s="6">
        <v>934</v>
      </c>
      <c r="F339" s="6">
        <v>154414.9892933619</v>
      </c>
      <c r="G339" s="6">
        <v>144223600</v>
      </c>
      <c r="H339" s="6">
        <v>23723600</v>
      </c>
      <c r="I339" s="6">
        <f t="shared" si="5"/>
        <v>61</v>
      </c>
      <c r="J339" t="str" cm="1">
        <f t="array" ref="J339">_xlfn.IFS(
AND(I339&gt;=89,I339&lt;=92),"D-90",
AND(I339&gt;=58,I339&lt;=62),"D-60",
AND(I339&gt;=28,I339&lt;=32),"D-30",
AND(I339=0),"당월",
TRUE,"그외")</f>
        <v>D-60</v>
      </c>
    </row>
    <row r="340" spans="1:10" ht="17.649999999999999" customHeight="1" x14ac:dyDescent="0.3">
      <c r="A340" s="4">
        <v>45627</v>
      </c>
      <c r="B340" s="5" t="s">
        <v>8</v>
      </c>
      <c r="C340" s="4">
        <v>45566</v>
      </c>
      <c r="D340" s="5" t="s">
        <v>10</v>
      </c>
      <c r="E340" s="6">
        <v>820</v>
      </c>
      <c r="F340" s="6">
        <v>197070.2817073171</v>
      </c>
      <c r="G340" s="6">
        <v>161597631</v>
      </c>
      <c r="H340" s="6">
        <v>20323699</v>
      </c>
      <c r="I340" s="6">
        <f t="shared" si="5"/>
        <v>61</v>
      </c>
      <c r="J340" t="str" cm="1">
        <f t="array" ref="J340">_xlfn.IFS(
AND(I340&gt;=89,I340&lt;=92),"D-90",
AND(I340&gt;=58,I340&lt;=62),"D-60",
AND(I340&gt;=28,I340&lt;=32),"D-30",
AND(I340=0),"당월",
TRUE,"그외")</f>
        <v>D-60</v>
      </c>
    </row>
    <row r="341" spans="1:10" ht="17.649999999999999" customHeight="1" x14ac:dyDescent="0.3">
      <c r="A341" s="4">
        <v>45627</v>
      </c>
      <c r="B341" s="5" t="s">
        <v>8</v>
      </c>
      <c r="C341" s="4">
        <v>45597</v>
      </c>
      <c r="D341" s="5" t="s">
        <v>9</v>
      </c>
      <c r="E341" s="6">
        <v>3815</v>
      </c>
      <c r="F341" s="6">
        <v>158006.00576671041</v>
      </c>
      <c r="G341" s="6">
        <v>602792912</v>
      </c>
      <c r="H341" s="6">
        <v>97935368</v>
      </c>
      <c r="I341" s="6">
        <f t="shared" si="5"/>
        <v>30</v>
      </c>
      <c r="J341" t="str" cm="1">
        <f t="array" ref="J341">_xlfn.IFS(
AND(I341&gt;=89,I341&lt;=92),"D-90",
AND(I341&gt;=58,I341&lt;=62),"D-60",
AND(I341&gt;=28,I341&lt;=32),"D-30",
AND(I341=0),"당월",
TRUE,"그외")</f>
        <v>D-30</v>
      </c>
    </row>
    <row r="342" spans="1:10" ht="17.649999999999999" customHeight="1" x14ac:dyDescent="0.3">
      <c r="A342" s="4">
        <v>45627</v>
      </c>
      <c r="B342" s="5" t="s">
        <v>8</v>
      </c>
      <c r="C342" s="4">
        <v>45597</v>
      </c>
      <c r="D342" s="5" t="s">
        <v>10</v>
      </c>
      <c r="E342" s="6">
        <v>3038</v>
      </c>
      <c r="F342" s="6">
        <v>198005.2034233048</v>
      </c>
      <c r="G342" s="6">
        <v>601539808</v>
      </c>
      <c r="H342" s="6">
        <v>76631591</v>
      </c>
      <c r="I342" s="6">
        <f t="shared" si="5"/>
        <v>30</v>
      </c>
      <c r="J342" t="str" cm="1">
        <f t="array" ref="J342">_xlfn.IFS(
AND(I342&gt;=89,I342&lt;=92),"D-90",
AND(I342&gt;=58,I342&lt;=62),"D-60",
AND(I342&gt;=28,I342&lt;=32),"D-30",
AND(I342=0),"당월",
TRUE,"그외")</f>
        <v>D-30</v>
      </c>
    </row>
    <row r="343" spans="1:10" ht="17.649999999999999" customHeight="1" x14ac:dyDescent="0.3">
      <c r="A343" s="4">
        <v>45627</v>
      </c>
      <c r="B343" s="5" t="s">
        <v>8</v>
      </c>
      <c r="C343" s="4">
        <v>45627</v>
      </c>
      <c r="D343" s="5" t="s">
        <v>9</v>
      </c>
      <c r="E343" s="6">
        <v>385</v>
      </c>
      <c r="F343" s="6">
        <v>208799.7402597403</v>
      </c>
      <c r="G343" s="6">
        <v>80387900</v>
      </c>
      <c r="H343" s="6">
        <v>11660900</v>
      </c>
      <c r="I343" s="6">
        <f t="shared" si="5"/>
        <v>0</v>
      </c>
      <c r="J343" t="str" cm="1">
        <f t="array" ref="J343">_xlfn.IFS(
AND(I343&gt;=89,I343&lt;=92),"D-90",
AND(I343&gt;=58,I343&lt;=62),"D-60",
AND(I343&gt;=28,I343&lt;=32),"D-30",
AND(I343=0),"당월",
TRUE,"그외")</f>
        <v>당월</v>
      </c>
    </row>
    <row r="344" spans="1:10" ht="17.649999999999999" customHeight="1" x14ac:dyDescent="0.3">
      <c r="A344" s="4">
        <v>45627</v>
      </c>
      <c r="B344" s="5" t="s">
        <v>8</v>
      </c>
      <c r="C344" s="4">
        <v>45627</v>
      </c>
      <c r="D344" s="5" t="s">
        <v>10</v>
      </c>
      <c r="E344" s="6">
        <v>1126</v>
      </c>
      <c r="F344" s="6">
        <v>239331.91296625219</v>
      </c>
      <c r="G344" s="6">
        <v>269487734</v>
      </c>
      <c r="H344" s="6">
        <v>34629594</v>
      </c>
      <c r="I344" s="6">
        <f t="shared" si="5"/>
        <v>0</v>
      </c>
      <c r="J344" t="str" cm="1">
        <f t="array" ref="J344">_xlfn.IFS(
AND(I344&gt;=89,I344&lt;=92),"D-90",
AND(I344&gt;=58,I344&lt;=62),"D-60",
AND(I344&gt;=28,I344&lt;=32),"D-30",
AND(I344=0),"당월",
TRUE,"그외")</f>
        <v>당월</v>
      </c>
    </row>
    <row r="345" spans="1:10" ht="17.649999999999999" customHeight="1" x14ac:dyDescent="0.3">
      <c r="A345" s="4">
        <v>45627</v>
      </c>
      <c r="B345" s="5" t="s">
        <v>11</v>
      </c>
      <c r="C345" s="4">
        <v>45505</v>
      </c>
      <c r="D345" s="5" t="s">
        <v>9</v>
      </c>
      <c r="E345" s="6">
        <v>70</v>
      </c>
      <c r="F345" s="6">
        <v>232957.1428571429</v>
      </c>
      <c r="G345" s="6">
        <v>16307000</v>
      </c>
      <c r="H345" s="6">
        <v>2807000</v>
      </c>
      <c r="I345" s="6">
        <f t="shared" si="5"/>
        <v>122</v>
      </c>
      <c r="J345" t="str" cm="1">
        <f t="array" ref="J345">_xlfn.IFS(
AND(I345&gt;=89,I345&lt;=92),"D-90",
AND(I345&gt;=58,I345&lt;=62),"D-60",
AND(I345&gt;=28,I345&lt;=32),"D-30",
AND(I345=0),"당월",
TRUE,"그외")</f>
        <v>그외</v>
      </c>
    </row>
    <row r="346" spans="1:10" ht="17.649999999999999" customHeight="1" x14ac:dyDescent="0.3">
      <c r="A346" s="4">
        <v>45627</v>
      </c>
      <c r="B346" s="5" t="s">
        <v>11</v>
      </c>
      <c r="C346" s="4">
        <v>45505</v>
      </c>
      <c r="D346" s="5" t="s">
        <v>10</v>
      </c>
      <c r="E346" s="6">
        <v>942</v>
      </c>
      <c r="F346" s="6">
        <v>197730.40339702761</v>
      </c>
      <c r="G346" s="6">
        <v>186262040</v>
      </c>
      <c r="H346" s="6">
        <v>37780382</v>
      </c>
      <c r="I346" s="6">
        <f t="shared" si="5"/>
        <v>122</v>
      </c>
      <c r="J346" t="str" cm="1">
        <f t="array" ref="J346">_xlfn.IFS(
AND(I346&gt;=89,I346&lt;=92),"D-90",
AND(I346&gt;=58,I346&lt;=62),"D-60",
AND(I346&gt;=28,I346&lt;=32),"D-30",
AND(I346=0),"당월",
TRUE,"그외")</f>
        <v>그외</v>
      </c>
    </row>
    <row r="347" spans="1:10" ht="17.649999999999999" customHeight="1" x14ac:dyDescent="0.3">
      <c r="A347" s="4">
        <v>45627</v>
      </c>
      <c r="B347" s="5" t="s">
        <v>11</v>
      </c>
      <c r="C347" s="4">
        <v>45536</v>
      </c>
      <c r="D347" s="5" t="s">
        <v>9</v>
      </c>
      <c r="E347" s="6">
        <v>1235</v>
      </c>
      <c r="F347" s="6">
        <v>193029.14979757089</v>
      </c>
      <c r="G347" s="6">
        <v>238391000</v>
      </c>
      <c r="H347" s="6">
        <v>44213000</v>
      </c>
      <c r="I347" s="6">
        <f t="shared" si="5"/>
        <v>91</v>
      </c>
      <c r="J347" t="str" cm="1">
        <f t="array" ref="J347">_xlfn.IFS(
AND(I347&gt;=89,I347&lt;=92),"D-90",
AND(I347&gt;=58,I347&lt;=62),"D-60",
AND(I347&gt;=28,I347&lt;=32),"D-30",
AND(I347=0),"당월",
TRUE,"그외")</f>
        <v>D-90</v>
      </c>
    </row>
    <row r="348" spans="1:10" ht="17.649999999999999" customHeight="1" x14ac:dyDescent="0.3">
      <c r="A348" s="4">
        <v>45627</v>
      </c>
      <c r="B348" s="5" t="s">
        <v>11</v>
      </c>
      <c r="C348" s="4">
        <v>45536</v>
      </c>
      <c r="D348" s="5" t="s">
        <v>10</v>
      </c>
      <c r="E348" s="6">
        <v>940</v>
      </c>
      <c r="F348" s="6">
        <v>220489.95</v>
      </c>
      <c r="G348" s="6">
        <v>207260553</v>
      </c>
      <c r="H348" s="6">
        <v>33476495</v>
      </c>
      <c r="I348" s="6">
        <f t="shared" si="5"/>
        <v>91</v>
      </c>
      <c r="J348" t="str" cm="1">
        <f t="array" ref="J348">_xlfn.IFS(
AND(I348&gt;=89,I348&lt;=92),"D-90",
AND(I348&gt;=58,I348&lt;=62),"D-60",
AND(I348&gt;=28,I348&lt;=32),"D-30",
AND(I348=0),"당월",
TRUE,"그외")</f>
        <v>D-90</v>
      </c>
    </row>
    <row r="349" spans="1:10" ht="17.649999999999999" customHeight="1" x14ac:dyDescent="0.3">
      <c r="A349" s="4">
        <v>45627</v>
      </c>
      <c r="B349" s="5" t="s">
        <v>11</v>
      </c>
      <c r="C349" s="4">
        <v>45566</v>
      </c>
      <c r="D349" s="5" t="s">
        <v>9</v>
      </c>
      <c r="E349" s="6">
        <v>1606</v>
      </c>
      <c r="F349" s="6">
        <v>186075.7160647572</v>
      </c>
      <c r="G349" s="6">
        <v>298837600</v>
      </c>
      <c r="H349" s="6">
        <v>41031600</v>
      </c>
      <c r="I349" s="6">
        <f t="shared" si="5"/>
        <v>61</v>
      </c>
      <c r="J349" t="str" cm="1">
        <f t="array" ref="J349">_xlfn.IFS(
AND(I349&gt;=89,I349&lt;=92),"D-90",
AND(I349&gt;=58,I349&lt;=62),"D-60",
AND(I349&gt;=28,I349&lt;=32),"D-30",
AND(I349=0),"당월",
TRUE,"그외")</f>
        <v>D-60</v>
      </c>
    </row>
    <row r="350" spans="1:10" ht="17.649999999999999" customHeight="1" x14ac:dyDescent="0.3">
      <c r="A350" s="4">
        <v>45627</v>
      </c>
      <c r="B350" s="5" t="s">
        <v>11</v>
      </c>
      <c r="C350" s="4">
        <v>45566</v>
      </c>
      <c r="D350" s="5" t="s">
        <v>10</v>
      </c>
      <c r="E350" s="6">
        <v>1312</v>
      </c>
      <c r="F350" s="6">
        <v>242367.50381097561</v>
      </c>
      <c r="G350" s="6">
        <v>317986165</v>
      </c>
      <c r="H350" s="6">
        <v>33616908</v>
      </c>
      <c r="I350" s="6">
        <f t="shared" si="5"/>
        <v>61</v>
      </c>
      <c r="J350" t="str" cm="1">
        <f t="array" ref="J350">_xlfn.IFS(
AND(I350&gt;=89,I350&lt;=92),"D-90",
AND(I350&gt;=58,I350&lt;=62),"D-60",
AND(I350&gt;=28,I350&lt;=32),"D-30",
AND(I350=0),"당월",
TRUE,"그외")</f>
        <v>D-60</v>
      </c>
    </row>
    <row r="351" spans="1:10" ht="17.649999999999999" customHeight="1" x14ac:dyDescent="0.3">
      <c r="A351" s="4">
        <v>45627</v>
      </c>
      <c r="B351" s="5" t="s">
        <v>11</v>
      </c>
      <c r="C351" s="4">
        <v>45597</v>
      </c>
      <c r="D351" s="5" t="s">
        <v>9</v>
      </c>
      <c r="E351" s="6">
        <v>2101</v>
      </c>
      <c r="F351" s="6">
        <v>206250.26178010469</v>
      </c>
      <c r="G351" s="6">
        <v>433331800</v>
      </c>
      <c r="H351" s="6">
        <v>53427800</v>
      </c>
      <c r="I351" s="6">
        <f t="shared" si="5"/>
        <v>30</v>
      </c>
      <c r="J351" t="str" cm="1">
        <f t="array" ref="J351">_xlfn.IFS(
AND(I351&gt;=89,I351&lt;=92),"D-90",
AND(I351&gt;=58,I351&lt;=62),"D-60",
AND(I351&gt;=28,I351&lt;=32),"D-30",
AND(I351=0),"당월",
TRUE,"그외")</f>
        <v>D-30</v>
      </c>
    </row>
    <row r="352" spans="1:10" ht="17.649999999999999" customHeight="1" x14ac:dyDescent="0.3">
      <c r="A352" s="4">
        <v>45627</v>
      </c>
      <c r="B352" s="5" t="s">
        <v>11</v>
      </c>
      <c r="C352" s="4">
        <v>45597</v>
      </c>
      <c r="D352" s="5" t="s">
        <v>10</v>
      </c>
      <c r="E352" s="6">
        <v>1159</v>
      </c>
      <c r="F352" s="6">
        <v>272558.7049180328</v>
      </c>
      <c r="G352" s="6">
        <v>315895539</v>
      </c>
      <c r="H352" s="6">
        <v>29567440</v>
      </c>
      <c r="I352" s="6">
        <f t="shared" si="5"/>
        <v>30</v>
      </c>
      <c r="J352" t="str" cm="1">
        <f t="array" ref="J352">_xlfn.IFS(
AND(I352&gt;=89,I352&lt;=92),"D-90",
AND(I352&gt;=58,I352&lt;=62),"D-60",
AND(I352&gt;=28,I352&lt;=32),"D-30",
AND(I352=0),"당월",
TRUE,"그외")</f>
        <v>D-30</v>
      </c>
    </row>
    <row r="353" spans="1:10" ht="17.649999999999999" customHeight="1" x14ac:dyDescent="0.3">
      <c r="A353" s="4">
        <v>45627</v>
      </c>
      <c r="B353" s="5" t="s">
        <v>11</v>
      </c>
      <c r="C353" s="4">
        <v>45627</v>
      </c>
      <c r="D353" s="5" t="s">
        <v>9</v>
      </c>
      <c r="E353" s="6">
        <v>354</v>
      </c>
      <c r="F353" s="6">
        <v>219644.35028248589</v>
      </c>
      <c r="G353" s="6">
        <v>77754100</v>
      </c>
      <c r="H353" s="6">
        <v>10751100</v>
      </c>
      <c r="I353" s="6">
        <f t="shared" si="5"/>
        <v>0</v>
      </c>
      <c r="J353" t="str" cm="1">
        <f t="array" ref="J353">_xlfn.IFS(
AND(I353&gt;=89,I353&lt;=92),"D-90",
AND(I353&gt;=58,I353&lt;=62),"D-60",
AND(I353&gt;=28,I353&lt;=32),"D-30",
AND(I353=0),"당월",
TRUE,"그외")</f>
        <v>당월</v>
      </c>
    </row>
    <row r="354" spans="1:10" ht="17.649999999999999" customHeight="1" x14ac:dyDescent="0.3">
      <c r="A354" s="4">
        <v>45627</v>
      </c>
      <c r="B354" s="5" t="s">
        <v>11</v>
      </c>
      <c r="C354" s="4">
        <v>45627</v>
      </c>
      <c r="D354" s="5" t="s">
        <v>10</v>
      </c>
      <c r="E354" s="6">
        <v>778</v>
      </c>
      <c r="F354" s="6">
        <v>274129.84961439588</v>
      </c>
      <c r="G354" s="6">
        <v>213273023</v>
      </c>
      <c r="H354" s="6">
        <v>23991102</v>
      </c>
      <c r="I354" s="6">
        <f t="shared" si="5"/>
        <v>0</v>
      </c>
      <c r="J354" t="str" cm="1">
        <f t="array" ref="J354">_xlfn.IFS(
AND(I354&gt;=89,I354&lt;=92),"D-90",
AND(I354&gt;=58,I354&lt;=62),"D-60",
AND(I354&gt;=28,I354&lt;=32),"D-30",
AND(I354=0),"당월",
TRUE,"그외")</f>
        <v>당월</v>
      </c>
    </row>
    <row r="355" spans="1:10" ht="17.649999999999999" customHeight="1" x14ac:dyDescent="0.3">
      <c r="A355" s="4">
        <v>45627</v>
      </c>
      <c r="B355" s="5" t="s">
        <v>12</v>
      </c>
      <c r="C355" s="4">
        <v>45505</v>
      </c>
      <c r="D355" s="5" t="s">
        <v>10</v>
      </c>
      <c r="E355" s="6">
        <v>242</v>
      </c>
      <c r="F355" s="6">
        <v>228719.0661157025</v>
      </c>
      <c r="G355" s="6">
        <v>55350014</v>
      </c>
      <c r="H355" s="6">
        <v>9743695</v>
      </c>
      <c r="I355" s="6">
        <f t="shared" si="5"/>
        <v>122</v>
      </c>
      <c r="J355" t="str" cm="1">
        <f t="array" ref="J355">_xlfn.IFS(
AND(I355&gt;=89,I355&lt;=92),"D-90",
AND(I355&gt;=58,I355&lt;=62),"D-60",
AND(I355&gt;=28,I355&lt;=32),"D-30",
AND(I355=0),"당월",
TRUE,"그외")</f>
        <v>그외</v>
      </c>
    </row>
    <row r="356" spans="1:10" ht="17.649999999999999" customHeight="1" x14ac:dyDescent="0.3">
      <c r="A356" s="4">
        <v>45627</v>
      </c>
      <c r="B356" s="5" t="s">
        <v>12</v>
      </c>
      <c r="C356" s="4">
        <v>45536</v>
      </c>
      <c r="D356" s="5" t="s">
        <v>9</v>
      </c>
      <c r="E356" s="6">
        <v>125</v>
      </c>
      <c r="F356" s="6">
        <v>208880</v>
      </c>
      <c r="G356" s="6">
        <v>26110000</v>
      </c>
      <c r="H356" s="6">
        <v>4475000</v>
      </c>
      <c r="I356" s="6">
        <f t="shared" si="5"/>
        <v>91</v>
      </c>
      <c r="J356" t="str" cm="1">
        <f t="array" ref="J356">_xlfn.IFS(
AND(I356&gt;=89,I356&lt;=92),"D-90",
AND(I356&gt;=58,I356&lt;=62),"D-60",
AND(I356&gt;=28,I356&lt;=32),"D-30",
AND(I356=0),"당월",
TRUE,"그외")</f>
        <v>D-90</v>
      </c>
    </row>
    <row r="357" spans="1:10" ht="17.649999999999999" customHeight="1" x14ac:dyDescent="0.3">
      <c r="A357" s="4">
        <v>45627</v>
      </c>
      <c r="B357" s="5" t="s">
        <v>12</v>
      </c>
      <c r="C357" s="4">
        <v>45536</v>
      </c>
      <c r="D357" s="5" t="s">
        <v>10</v>
      </c>
      <c r="E357" s="6">
        <v>137</v>
      </c>
      <c r="F357" s="6">
        <v>285170.41605839418</v>
      </c>
      <c r="G357" s="6">
        <v>39068347</v>
      </c>
      <c r="H357" s="6">
        <v>4916618</v>
      </c>
      <c r="I357" s="6">
        <f t="shared" si="5"/>
        <v>91</v>
      </c>
      <c r="J357" t="str" cm="1">
        <f t="array" ref="J357">_xlfn.IFS(
AND(I357&gt;=89,I357&lt;=92),"D-90",
AND(I357&gt;=58,I357&lt;=62),"D-60",
AND(I357&gt;=28,I357&lt;=32),"D-30",
AND(I357=0),"당월",
TRUE,"그외")</f>
        <v>D-90</v>
      </c>
    </row>
    <row r="358" spans="1:10" ht="17.649999999999999" customHeight="1" x14ac:dyDescent="0.3">
      <c r="A358" s="4">
        <v>45627</v>
      </c>
      <c r="B358" s="5" t="s">
        <v>12</v>
      </c>
      <c r="C358" s="4">
        <v>45566</v>
      </c>
      <c r="D358" s="5" t="s">
        <v>9</v>
      </c>
      <c r="E358" s="6">
        <v>458</v>
      </c>
      <c r="F358" s="6">
        <v>187528.82096069871</v>
      </c>
      <c r="G358" s="6">
        <v>85888200</v>
      </c>
      <c r="H358" s="6">
        <v>11633200</v>
      </c>
      <c r="I358" s="6">
        <f t="shared" si="5"/>
        <v>61</v>
      </c>
      <c r="J358" t="str" cm="1">
        <f t="array" ref="J358">_xlfn.IFS(
AND(I358&gt;=89,I358&lt;=92),"D-90",
AND(I358&gt;=58,I358&lt;=62),"D-60",
AND(I358&gt;=28,I358&lt;=32),"D-30",
AND(I358=0),"당월",
TRUE,"그외")</f>
        <v>D-60</v>
      </c>
    </row>
    <row r="359" spans="1:10" ht="17.649999999999999" customHeight="1" x14ac:dyDescent="0.3">
      <c r="A359" s="4">
        <v>45627</v>
      </c>
      <c r="B359" s="5" t="s">
        <v>12</v>
      </c>
      <c r="C359" s="4">
        <v>45566</v>
      </c>
      <c r="D359" s="5" t="s">
        <v>10</v>
      </c>
      <c r="E359" s="6">
        <v>728</v>
      </c>
      <c r="F359" s="6">
        <v>179362.0728021978</v>
      </c>
      <c r="G359" s="6">
        <v>130575589</v>
      </c>
      <c r="H359" s="6">
        <v>19394609</v>
      </c>
      <c r="I359" s="6">
        <f t="shared" si="5"/>
        <v>61</v>
      </c>
      <c r="J359" t="str" cm="1">
        <f t="array" ref="J359">_xlfn.IFS(
AND(I359&gt;=89,I359&lt;=92),"D-90",
AND(I359&gt;=58,I359&lt;=62),"D-60",
AND(I359&gt;=28,I359&lt;=32),"D-30",
AND(I359=0),"당월",
TRUE,"그외")</f>
        <v>D-60</v>
      </c>
    </row>
    <row r="360" spans="1:10" ht="17.649999999999999" customHeight="1" x14ac:dyDescent="0.3">
      <c r="A360" s="4">
        <v>45627</v>
      </c>
      <c r="B360" s="5" t="s">
        <v>12</v>
      </c>
      <c r="C360" s="4">
        <v>45597</v>
      </c>
      <c r="D360" s="5" t="s">
        <v>9</v>
      </c>
      <c r="E360" s="6">
        <v>2113</v>
      </c>
      <c r="F360" s="6">
        <v>165647.89398958831</v>
      </c>
      <c r="G360" s="6">
        <v>350014000</v>
      </c>
      <c r="H360" s="6">
        <v>53691000</v>
      </c>
      <c r="I360" s="6">
        <f t="shared" si="5"/>
        <v>30</v>
      </c>
      <c r="J360" t="str" cm="1">
        <f t="array" ref="J360">_xlfn.IFS(
AND(I360&gt;=89,I360&lt;=92),"D-90",
AND(I360&gt;=58,I360&lt;=62),"D-60",
AND(I360&gt;=28,I360&lt;=32),"D-30",
AND(I360=0),"당월",
TRUE,"그외")</f>
        <v>D-30</v>
      </c>
    </row>
    <row r="361" spans="1:10" ht="17.649999999999999" customHeight="1" x14ac:dyDescent="0.3">
      <c r="A361" s="4">
        <v>45627</v>
      </c>
      <c r="B361" s="5" t="s">
        <v>12</v>
      </c>
      <c r="C361" s="4">
        <v>45597</v>
      </c>
      <c r="D361" s="5" t="s">
        <v>10</v>
      </c>
      <c r="E361" s="6">
        <v>2662</v>
      </c>
      <c r="F361" s="6">
        <v>173590.89105935389</v>
      </c>
      <c r="G361" s="6">
        <v>462098952</v>
      </c>
      <c r="H361" s="6">
        <v>70898596</v>
      </c>
      <c r="I361" s="6">
        <f t="shared" si="5"/>
        <v>30</v>
      </c>
      <c r="J361" t="str" cm="1">
        <f t="array" ref="J361">_xlfn.IFS(
AND(I361&gt;=89,I361&lt;=92),"D-90",
AND(I361&gt;=58,I361&lt;=62),"D-60",
AND(I361&gt;=28,I361&lt;=32),"D-30",
AND(I361=0),"당월",
TRUE,"그외")</f>
        <v>D-30</v>
      </c>
    </row>
    <row r="362" spans="1:10" ht="17.649999999999999" customHeight="1" x14ac:dyDescent="0.3">
      <c r="A362" s="4">
        <v>45627</v>
      </c>
      <c r="B362" s="5" t="s">
        <v>12</v>
      </c>
      <c r="C362" s="4">
        <v>45627</v>
      </c>
      <c r="D362" s="5" t="s">
        <v>9</v>
      </c>
      <c r="E362" s="6">
        <v>1336</v>
      </c>
      <c r="F362" s="6">
        <v>198548.502994012</v>
      </c>
      <c r="G362" s="6">
        <v>265260800</v>
      </c>
      <c r="H362" s="6">
        <v>40666800</v>
      </c>
      <c r="I362" s="6">
        <f t="shared" si="5"/>
        <v>0</v>
      </c>
      <c r="J362" t="str" cm="1">
        <f t="array" ref="J362">_xlfn.IFS(
AND(I362&gt;=89,I362&lt;=92),"D-90",
AND(I362&gt;=58,I362&lt;=62),"D-60",
AND(I362&gt;=28,I362&lt;=32),"D-30",
AND(I362=0),"당월",
TRUE,"그외")</f>
        <v>당월</v>
      </c>
    </row>
    <row r="363" spans="1:10" ht="17.649999999999999" customHeight="1" x14ac:dyDescent="0.3">
      <c r="A363" s="4">
        <v>45627</v>
      </c>
      <c r="B363" s="5" t="s">
        <v>12</v>
      </c>
      <c r="C363" s="4">
        <v>45627</v>
      </c>
      <c r="D363" s="5" t="s">
        <v>10</v>
      </c>
      <c r="E363" s="6">
        <v>1259</v>
      </c>
      <c r="F363" s="6">
        <v>224594.6711675933</v>
      </c>
      <c r="G363" s="6">
        <v>282764691</v>
      </c>
      <c r="H363" s="6">
        <v>39577382</v>
      </c>
      <c r="I363" s="6">
        <f t="shared" si="5"/>
        <v>0</v>
      </c>
      <c r="J363" t="str" cm="1">
        <f t="array" ref="J363">_xlfn.IFS(
AND(I363&gt;=89,I363&lt;=92),"D-90",
AND(I363&gt;=58,I363&lt;=62),"D-60",
AND(I363&gt;=28,I363&lt;=32),"D-30",
AND(I363=0),"당월",
TRUE,"그외")</f>
        <v>당월</v>
      </c>
    </row>
    <row r="364" spans="1:10" ht="17.649999999999999" customHeight="1" x14ac:dyDescent="0.3">
      <c r="A364" s="4">
        <v>45627</v>
      </c>
      <c r="B364" s="5" t="s">
        <v>13</v>
      </c>
      <c r="C364" s="4">
        <v>45505</v>
      </c>
      <c r="D364" s="5" t="s">
        <v>9</v>
      </c>
      <c r="E364" s="6">
        <v>4</v>
      </c>
      <c r="F364" s="6">
        <v>270100</v>
      </c>
      <c r="G364" s="6">
        <v>1080400</v>
      </c>
      <c r="H364" s="6">
        <v>160400</v>
      </c>
      <c r="I364" s="6">
        <f t="shared" si="5"/>
        <v>122</v>
      </c>
      <c r="J364" t="str" cm="1">
        <f t="array" ref="J364">_xlfn.IFS(
AND(I364&gt;=89,I364&lt;=92),"D-90",
AND(I364&gt;=58,I364&lt;=62),"D-60",
AND(I364&gt;=28,I364&lt;=32),"D-30",
AND(I364=0),"당월",
TRUE,"그외")</f>
        <v>그외</v>
      </c>
    </row>
    <row r="365" spans="1:10" ht="17.649999999999999" customHeight="1" x14ac:dyDescent="0.3">
      <c r="A365" s="4">
        <v>45627</v>
      </c>
      <c r="B365" s="5" t="s">
        <v>13</v>
      </c>
      <c r="C365" s="4">
        <v>45505</v>
      </c>
      <c r="D365" s="5" t="s">
        <v>10</v>
      </c>
      <c r="E365" s="6">
        <v>140</v>
      </c>
      <c r="F365" s="6">
        <v>180810</v>
      </c>
      <c r="G365" s="6">
        <v>25313400</v>
      </c>
      <c r="H365" s="6">
        <v>5614000</v>
      </c>
      <c r="I365" s="6">
        <f t="shared" si="5"/>
        <v>122</v>
      </c>
      <c r="J365" t="str" cm="1">
        <f t="array" ref="J365">_xlfn.IFS(
AND(I365&gt;=89,I365&lt;=92),"D-90",
AND(I365&gt;=58,I365&lt;=62),"D-60",
AND(I365&gt;=28,I365&lt;=32),"D-30",
AND(I365=0),"당월",
TRUE,"그외")</f>
        <v>그외</v>
      </c>
    </row>
    <row r="366" spans="1:10" ht="17.649999999999999" customHeight="1" x14ac:dyDescent="0.3">
      <c r="A366" s="4">
        <v>45627</v>
      </c>
      <c r="B366" s="5" t="s">
        <v>13</v>
      </c>
      <c r="C366" s="4">
        <v>45536</v>
      </c>
      <c r="D366" s="5" t="s">
        <v>9</v>
      </c>
      <c r="E366" s="6">
        <v>69</v>
      </c>
      <c r="F366" s="6">
        <v>252176.81159420291</v>
      </c>
      <c r="G366" s="6">
        <v>17400200</v>
      </c>
      <c r="H366" s="6">
        <v>2470200</v>
      </c>
      <c r="I366" s="6">
        <f t="shared" si="5"/>
        <v>91</v>
      </c>
      <c r="J366" t="str" cm="1">
        <f t="array" ref="J366">_xlfn.IFS(
AND(I366&gt;=89,I366&lt;=92),"D-90",
AND(I366&gt;=58,I366&lt;=62),"D-60",
AND(I366&gt;=28,I366&lt;=32),"D-30",
AND(I366=0),"당월",
TRUE,"그외")</f>
        <v>D-90</v>
      </c>
    </row>
    <row r="367" spans="1:10" ht="17.649999999999999" customHeight="1" x14ac:dyDescent="0.3">
      <c r="A367" s="4">
        <v>45627</v>
      </c>
      <c r="B367" s="5" t="s">
        <v>13</v>
      </c>
      <c r="C367" s="4">
        <v>45536</v>
      </c>
      <c r="D367" s="5" t="s">
        <v>10</v>
      </c>
      <c r="E367" s="6">
        <v>609</v>
      </c>
      <c r="F367" s="6">
        <v>211558.30377668311</v>
      </c>
      <c r="G367" s="6">
        <v>128839007</v>
      </c>
      <c r="H367" s="6">
        <v>21844919</v>
      </c>
      <c r="I367" s="6">
        <f t="shared" si="5"/>
        <v>91</v>
      </c>
      <c r="J367" t="str" cm="1">
        <f t="array" ref="J367">_xlfn.IFS(
AND(I367&gt;=89,I367&lt;=92),"D-90",
AND(I367&gt;=58,I367&lt;=62),"D-60",
AND(I367&gt;=28,I367&lt;=32),"D-30",
AND(I367=0),"당월",
TRUE,"그외")</f>
        <v>D-90</v>
      </c>
    </row>
    <row r="368" spans="1:10" ht="17.649999999999999" customHeight="1" x14ac:dyDescent="0.3">
      <c r="A368" s="4">
        <v>45627</v>
      </c>
      <c r="B368" s="5" t="s">
        <v>13</v>
      </c>
      <c r="C368" s="4">
        <v>45566</v>
      </c>
      <c r="D368" s="5" t="s">
        <v>9</v>
      </c>
      <c r="E368" s="6">
        <v>331</v>
      </c>
      <c r="F368" s="6">
        <v>203747.43202416919</v>
      </c>
      <c r="G368" s="6">
        <v>67440400</v>
      </c>
      <c r="H368" s="6">
        <v>8407400</v>
      </c>
      <c r="I368" s="6">
        <f t="shared" si="5"/>
        <v>61</v>
      </c>
      <c r="J368" t="str" cm="1">
        <f t="array" ref="J368">_xlfn.IFS(
AND(I368&gt;=89,I368&lt;=92),"D-90",
AND(I368&gt;=58,I368&lt;=62),"D-60",
AND(I368&gt;=28,I368&lt;=32),"D-30",
AND(I368=0),"당월",
TRUE,"그외")</f>
        <v>D-60</v>
      </c>
    </row>
    <row r="369" spans="1:10" ht="17.649999999999999" customHeight="1" x14ac:dyDescent="0.3">
      <c r="A369" s="4">
        <v>45627</v>
      </c>
      <c r="B369" s="5" t="s">
        <v>13</v>
      </c>
      <c r="C369" s="4">
        <v>45566</v>
      </c>
      <c r="D369" s="5" t="s">
        <v>10</v>
      </c>
      <c r="E369" s="6">
        <v>1957</v>
      </c>
      <c r="F369" s="6">
        <v>185028.80122636689</v>
      </c>
      <c r="G369" s="6">
        <v>362101364</v>
      </c>
      <c r="H369" s="6">
        <v>49673430</v>
      </c>
      <c r="I369" s="6">
        <f t="shared" si="5"/>
        <v>61</v>
      </c>
      <c r="J369" t="str" cm="1">
        <f t="array" ref="J369">_xlfn.IFS(
AND(I369&gt;=89,I369&lt;=92),"D-90",
AND(I369&gt;=58,I369&lt;=62),"D-60",
AND(I369&gt;=28,I369&lt;=32),"D-30",
AND(I369=0),"당월",
TRUE,"그외")</f>
        <v>D-60</v>
      </c>
    </row>
    <row r="370" spans="1:10" ht="17.649999999999999" customHeight="1" x14ac:dyDescent="0.3">
      <c r="A370" s="4">
        <v>45627</v>
      </c>
      <c r="B370" s="5" t="s">
        <v>13</v>
      </c>
      <c r="C370" s="4">
        <v>45597</v>
      </c>
      <c r="D370" s="5" t="s">
        <v>9</v>
      </c>
      <c r="E370" s="6">
        <v>2240</v>
      </c>
      <c r="F370" s="6">
        <v>138430.9821428571</v>
      </c>
      <c r="G370" s="6">
        <v>310085400</v>
      </c>
      <c r="H370" s="6">
        <v>56906400</v>
      </c>
      <c r="I370" s="6">
        <f t="shared" si="5"/>
        <v>30</v>
      </c>
      <c r="J370" t="str" cm="1">
        <f t="array" ref="J370">_xlfn.IFS(
AND(I370&gt;=89,I370&lt;=92),"D-90",
AND(I370&gt;=58,I370&lt;=62),"D-60",
AND(I370&gt;=28,I370&lt;=32),"D-30",
AND(I370=0),"당월",
TRUE,"그외")</f>
        <v>D-30</v>
      </c>
    </row>
    <row r="371" spans="1:10" ht="17.649999999999999" customHeight="1" x14ac:dyDescent="0.3">
      <c r="A371" s="4">
        <v>45627</v>
      </c>
      <c r="B371" s="5" t="s">
        <v>13</v>
      </c>
      <c r="C371" s="4">
        <v>45597</v>
      </c>
      <c r="D371" s="5" t="s">
        <v>10</v>
      </c>
      <c r="E371" s="6">
        <v>2673</v>
      </c>
      <c r="F371" s="6">
        <v>175630.25327347551</v>
      </c>
      <c r="G371" s="6">
        <v>469459667</v>
      </c>
      <c r="H371" s="6">
        <v>68547537</v>
      </c>
      <c r="I371" s="6">
        <f t="shared" si="5"/>
        <v>30</v>
      </c>
      <c r="J371" t="str" cm="1">
        <f t="array" ref="J371">_xlfn.IFS(
AND(I371&gt;=89,I371&lt;=92),"D-90",
AND(I371&gt;=58,I371&lt;=62),"D-60",
AND(I371&gt;=28,I371&lt;=32),"D-30",
AND(I371=0),"당월",
TRUE,"그외")</f>
        <v>D-30</v>
      </c>
    </row>
    <row r="372" spans="1:10" ht="17.649999999999999" customHeight="1" x14ac:dyDescent="0.3">
      <c r="A372" s="4">
        <v>45627</v>
      </c>
      <c r="B372" s="5" t="s">
        <v>13</v>
      </c>
      <c r="C372" s="4">
        <v>45627</v>
      </c>
      <c r="D372" s="5" t="s">
        <v>9</v>
      </c>
      <c r="E372" s="6">
        <v>485</v>
      </c>
      <c r="F372" s="6">
        <v>181317.31958762891</v>
      </c>
      <c r="G372" s="6">
        <v>87938900</v>
      </c>
      <c r="H372" s="6">
        <v>14761900</v>
      </c>
      <c r="I372" s="6">
        <f t="shared" si="5"/>
        <v>0</v>
      </c>
      <c r="J372" t="str" cm="1">
        <f t="array" ref="J372">_xlfn.IFS(
AND(I372&gt;=89,I372&lt;=92),"D-90",
AND(I372&gt;=58,I372&lt;=62),"D-60",
AND(I372&gt;=28,I372&lt;=32),"D-30",
AND(I372=0),"당월",
TRUE,"그외")</f>
        <v>당월</v>
      </c>
    </row>
    <row r="373" spans="1:10" ht="17.649999999999999" customHeight="1" x14ac:dyDescent="0.3">
      <c r="A373" s="4">
        <v>45627</v>
      </c>
      <c r="B373" s="5" t="s">
        <v>13</v>
      </c>
      <c r="C373" s="4">
        <v>45627</v>
      </c>
      <c r="D373" s="5" t="s">
        <v>10</v>
      </c>
      <c r="E373" s="6">
        <v>1562</v>
      </c>
      <c r="F373" s="6">
        <v>218805.86555697821</v>
      </c>
      <c r="G373" s="6">
        <v>341774762</v>
      </c>
      <c r="H373" s="6">
        <v>47607728</v>
      </c>
      <c r="I373" s="6">
        <f t="shared" si="5"/>
        <v>0</v>
      </c>
      <c r="J373" t="str" cm="1">
        <f t="array" ref="J373">_xlfn.IFS(
AND(I373&gt;=89,I373&lt;=92),"D-90",
AND(I373&gt;=58,I373&lt;=62),"D-60",
AND(I373&gt;=28,I373&lt;=32),"D-30",
AND(I373=0),"당월",
TRUE,"그외")</f>
        <v>당월</v>
      </c>
    </row>
    <row r="374" spans="1:10" ht="17.649999999999999" customHeight="1" x14ac:dyDescent="0.3">
      <c r="A374" s="4">
        <v>45658</v>
      </c>
      <c r="B374" s="5" t="s">
        <v>8</v>
      </c>
      <c r="C374" s="4">
        <v>45536</v>
      </c>
      <c r="D374" s="5" t="s">
        <v>10</v>
      </c>
      <c r="E374" s="6">
        <v>402</v>
      </c>
      <c r="F374" s="6">
        <v>279271.07960199012</v>
      </c>
      <c r="G374" s="6">
        <v>112266974</v>
      </c>
      <c r="H374" s="6">
        <v>14485625</v>
      </c>
      <c r="I374" s="6">
        <f t="shared" si="5"/>
        <v>122</v>
      </c>
      <c r="J374" t="str" cm="1">
        <f t="array" ref="J374">_xlfn.IFS(
AND(I374&gt;=89,I374&lt;=92),"D-90",
AND(I374&gt;=58,I374&lt;=62),"D-60",
AND(I374&gt;=28,I374&lt;=32),"D-30",
AND(I374=0),"당월",
TRUE,"그외")</f>
        <v>그외</v>
      </c>
    </row>
    <row r="375" spans="1:10" ht="17.649999999999999" customHeight="1" x14ac:dyDescent="0.3">
      <c r="A375" s="4">
        <v>45658</v>
      </c>
      <c r="B375" s="5" t="s">
        <v>8</v>
      </c>
      <c r="C375" s="4">
        <v>45566</v>
      </c>
      <c r="D375" s="5" t="s">
        <v>9</v>
      </c>
      <c r="E375" s="6">
        <v>20</v>
      </c>
      <c r="F375" s="6">
        <v>236400</v>
      </c>
      <c r="G375" s="6">
        <v>4728000</v>
      </c>
      <c r="H375" s="6">
        <v>508000</v>
      </c>
      <c r="I375" s="6">
        <f t="shared" si="5"/>
        <v>92</v>
      </c>
      <c r="J375" t="str" cm="1">
        <f t="array" ref="J375">_xlfn.IFS(
AND(I375&gt;=89,I375&lt;=92),"D-90",
AND(I375&gt;=58,I375&lt;=62),"D-60",
AND(I375&gt;=28,I375&lt;=32),"D-30",
AND(I375=0),"당월",
TRUE,"그외")</f>
        <v>D-90</v>
      </c>
    </row>
    <row r="376" spans="1:10" ht="17.649999999999999" customHeight="1" x14ac:dyDescent="0.3">
      <c r="A376" s="4">
        <v>45658</v>
      </c>
      <c r="B376" s="5" t="s">
        <v>8</v>
      </c>
      <c r="C376" s="4">
        <v>45566</v>
      </c>
      <c r="D376" s="5" t="s">
        <v>10</v>
      </c>
      <c r="E376" s="6">
        <v>232</v>
      </c>
      <c r="F376" s="6">
        <v>294395.82327586209</v>
      </c>
      <c r="G376" s="6">
        <v>68299831</v>
      </c>
      <c r="H376" s="6">
        <v>5681224</v>
      </c>
      <c r="I376" s="6">
        <f t="shared" si="5"/>
        <v>92</v>
      </c>
      <c r="J376" t="str" cm="1">
        <f t="array" ref="J376">_xlfn.IFS(
AND(I376&gt;=89,I376&lt;=92),"D-90",
AND(I376&gt;=58,I376&lt;=62),"D-60",
AND(I376&gt;=28,I376&lt;=32),"D-30",
AND(I376=0),"당월",
TRUE,"그외")</f>
        <v>D-90</v>
      </c>
    </row>
    <row r="377" spans="1:10" ht="17.649999999999999" customHeight="1" x14ac:dyDescent="0.3">
      <c r="A377" s="4">
        <v>45658</v>
      </c>
      <c r="B377" s="5" t="s">
        <v>8</v>
      </c>
      <c r="C377" s="4">
        <v>45597</v>
      </c>
      <c r="D377" s="5" t="s">
        <v>9</v>
      </c>
      <c r="E377" s="6">
        <v>654</v>
      </c>
      <c r="F377" s="6">
        <v>279571.25382262998</v>
      </c>
      <c r="G377" s="6">
        <v>182839600</v>
      </c>
      <c r="H377" s="6">
        <v>16611600</v>
      </c>
      <c r="I377" s="6">
        <f t="shared" si="5"/>
        <v>61</v>
      </c>
      <c r="J377" t="str" cm="1">
        <f t="array" ref="J377">_xlfn.IFS(
AND(I377&gt;=89,I377&lt;=92),"D-90",
AND(I377&gt;=58,I377&lt;=62),"D-60",
AND(I377&gt;=28,I377&lt;=32),"D-30",
AND(I377=0),"당월",
TRUE,"그외")</f>
        <v>D-60</v>
      </c>
    </row>
    <row r="378" spans="1:10" ht="17.649999999999999" customHeight="1" x14ac:dyDescent="0.3">
      <c r="A378" s="4">
        <v>45658</v>
      </c>
      <c r="B378" s="5" t="s">
        <v>8</v>
      </c>
      <c r="C378" s="4">
        <v>45597</v>
      </c>
      <c r="D378" s="5" t="s">
        <v>10</v>
      </c>
      <c r="E378" s="6">
        <v>385</v>
      </c>
      <c r="F378" s="6">
        <v>331536.76623376622</v>
      </c>
      <c r="G378" s="6">
        <v>127641655</v>
      </c>
      <c r="H378" s="6">
        <v>8938887</v>
      </c>
      <c r="I378" s="6">
        <f t="shared" si="5"/>
        <v>61</v>
      </c>
      <c r="J378" t="str" cm="1">
        <f t="array" ref="J378">_xlfn.IFS(
AND(I378&gt;=89,I378&lt;=92),"D-90",
AND(I378&gt;=58,I378&lt;=62),"D-60",
AND(I378&gt;=28,I378&lt;=32),"D-30",
AND(I378=0),"당월",
TRUE,"그외")</f>
        <v>D-60</v>
      </c>
    </row>
    <row r="379" spans="1:10" ht="17.649999999999999" customHeight="1" x14ac:dyDescent="0.3">
      <c r="A379" s="4">
        <v>45658</v>
      </c>
      <c r="B379" s="5" t="s">
        <v>8</v>
      </c>
      <c r="C379" s="4">
        <v>45627</v>
      </c>
      <c r="D379" s="5" t="s">
        <v>9</v>
      </c>
      <c r="E379" s="6">
        <v>1481</v>
      </c>
      <c r="F379" s="6">
        <v>589254.08507765026</v>
      </c>
      <c r="G379" s="6">
        <v>872685300</v>
      </c>
      <c r="H379" s="6">
        <v>43391300</v>
      </c>
      <c r="I379" s="6">
        <f t="shared" si="5"/>
        <v>31</v>
      </c>
      <c r="J379" t="str" cm="1">
        <f t="array" ref="J379">_xlfn.IFS(
AND(I379&gt;=89,I379&lt;=92),"D-90",
AND(I379&gt;=58,I379&lt;=62),"D-60",
AND(I379&gt;=28,I379&lt;=32),"D-30",
AND(I379=0),"당월",
TRUE,"그외")</f>
        <v>D-30</v>
      </c>
    </row>
    <row r="380" spans="1:10" ht="17.649999999999999" customHeight="1" x14ac:dyDescent="0.3">
      <c r="A380" s="4">
        <v>45658</v>
      </c>
      <c r="B380" s="5" t="s">
        <v>8</v>
      </c>
      <c r="C380" s="4">
        <v>45627</v>
      </c>
      <c r="D380" s="5" t="s">
        <v>10</v>
      </c>
      <c r="E380" s="6">
        <v>3589</v>
      </c>
      <c r="F380" s="6">
        <v>256406.91501811091</v>
      </c>
      <c r="G380" s="6">
        <v>920244418</v>
      </c>
      <c r="H380" s="6">
        <v>109203470</v>
      </c>
      <c r="I380" s="6">
        <f t="shared" si="5"/>
        <v>31</v>
      </c>
      <c r="J380" t="str" cm="1">
        <f t="array" ref="J380">_xlfn.IFS(
AND(I380&gt;=89,I380&lt;=92),"D-90",
AND(I380&gt;=58,I380&lt;=62),"D-60",
AND(I380&gt;=28,I380&lt;=32),"D-30",
AND(I380=0),"당월",
TRUE,"그외")</f>
        <v>D-30</v>
      </c>
    </row>
    <row r="381" spans="1:10" ht="17.649999999999999" customHeight="1" x14ac:dyDescent="0.3">
      <c r="A381" s="4">
        <v>45658</v>
      </c>
      <c r="B381" s="5" t="s">
        <v>8</v>
      </c>
      <c r="C381" s="4">
        <v>45658</v>
      </c>
      <c r="D381" s="5" t="s">
        <v>9</v>
      </c>
      <c r="E381" s="6">
        <v>2442</v>
      </c>
      <c r="F381" s="6">
        <v>72514.168714168714</v>
      </c>
      <c r="G381" s="6">
        <v>177079600</v>
      </c>
      <c r="H381" s="6">
        <v>75675600</v>
      </c>
      <c r="I381" s="6">
        <f t="shared" si="5"/>
        <v>0</v>
      </c>
      <c r="J381" t="str" cm="1">
        <f t="array" ref="J381">_xlfn.IFS(
AND(I381&gt;=89,I381&lt;=92),"D-90",
AND(I381&gt;=58,I381&lt;=62),"D-60",
AND(I381&gt;=28,I381&lt;=32),"D-30",
AND(I381=0),"당월",
TRUE,"그외")</f>
        <v>당월</v>
      </c>
    </row>
    <row r="382" spans="1:10" ht="17.649999999999999" customHeight="1" x14ac:dyDescent="0.3">
      <c r="A382" s="4">
        <v>45658</v>
      </c>
      <c r="B382" s="5" t="s">
        <v>8</v>
      </c>
      <c r="C382" s="4">
        <v>45658</v>
      </c>
      <c r="D382" s="5" t="s">
        <v>10</v>
      </c>
      <c r="E382" s="6">
        <v>1248</v>
      </c>
      <c r="F382" s="6">
        <v>252309.52804487181</v>
      </c>
      <c r="G382" s="6">
        <v>314882291</v>
      </c>
      <c r="H382" s="6">
        <v>39161933</v>
      </c>
      <c r="I382" s="6">
        <f t="shared" si="5"/>
        <v>0</v>
      </c>
      <c r="J382" t="str" cm="1">
        <f t="array" ref="J382">_xlfn.IFS(
AND(I382&gt;=89,I382&lt;=92),"D-90",
AND(I382&gt;=58,I382&lt;=62),"D-60",
AND(I382&gt;=28,I382&lt;=32),"D-30",
AND(I382=0),"당월",
TRUE,"그외")</f>
        <v>당월</v>
      </c>
    </row>
    <row r="383" spans="1:10" ht="17.649999999999999" customHeight="1" x14ac:dyDescent="0.3">
      <c r="A383" s="4">
        <v>45658</v>
      </c>
      <c r="B383" s="5" t="s">
        <v>11</v>
      </c>
      <c r="C383" s="4">
        <v>45505</v>
      </c>
      <c r="D383" s="5" t="s">
        <v>9</v>
      </c>
      <c r="E383" s="6">
        <v>48</v>
      </c>
      <c r="F383" s="6">
        <v>245933.33333333331</v>
      </c>
      <c r="G383" s="6">
        <v>11804800</v>
      </c>
      <c r="H383" s="6">
        <v>1924800</v>
      </c>
      <c r="I383" s="6">
        <f t="shared" si="5"/>
        <v>153</v>
      </c>
      <c r="J383" t="str" cm="1">
        <f t="array" ref="J383">_xlfn.IFS(
AND(I383&gt;=89,I383&lt;=92),"D-90",
AND(I383&gt;=58,I383&lt;=62),"D-60",
AND(I383&gt;=28,I383&lt;=32),"D-30",
AND(I383=0),"당월",
TRUE,"그외")</f>
        <v>그외</v>
      </c>
    </row>
    <row r="384" spans="1:10" ht="17.649999999999999" customHeight="1" x14ac:dyDescent="0.3">
      <c r="A384" s="4">
        <v>45658</v>
      </c>
      <c r="B384" s="5" t="s">
        <v>11</v>
      </c>
      <c r="C384" s="4">
        <v>45505</v>
      </c>
      <c r="D384" s="5" t="s">
        <v>10</v>
      </c>
      <c r="E384" s="6">
        <v>446</v>
      </c>
      <c r="F384" s="6">
        <v>294217.48878923769</v>
      </c>
      <c r="G384" s="6">
        <v>131221000</v>
      </c>
      <c r="H384" s="6">
        <v>17884600</v>
      </c>
      <c r="I384" s="6">
        <f t="shared" si="5"/>
        <v>153</v>
      </c>
      <c r="J384" t="str" cm="1">
        <f t="array" ref="J384">_xlfn.IFS(
AND(I384&gt;=89,I384&lt;=92),"D-90",
AND(I384&gt;=58,I384&lt;=62),"D-60",
AND(I384&gt;=28,I384&lt;=32),"D-30",
AND(I384=0),"당월",
TRUE,"그외")</f>
        <v>그외</v>
      </c>
    </row>
    <row r="385" spans="1:10" ht="17.649999999999999" customHeight="1" x14ac:dyDescent="0.3">
      <c r="A385" s="4">
        <v>45658</v>
      </c>
      <c r="B385" s="5" t="s">
        <v>11</v>
      </c>
      <c r="C385" s="4">
        <v>45536</v>
      </c>
      <c r="D385" s="5" t="s">
        <v>9</v>
      </c>
      <c r="E385" s="6">
        <v>235</v>
      </c>
      <c r="F385" s="6">
        <v>246897.8723404255</v>
      </c>
      <c r="G385" s="6">
        <v>58021000</v>
      </c>
      <c r="H385" s="6">
        <v>8413000</v>
      </c>
      <c r="I385" s="6">
        <f t="shared" si="5"/>
        <v>122</v>
      </c>
      <c r="J385" t="str" cm="1">
        <f t="array" ref="J385">_xlfn.IFS(
AND(I385&gt;=89,I385&lt;=92),"D-90",
AND(I385&gt;=58,I385&lt;=62),"D-60",
AND(I385&gt;=28,I385&lt;=32),"D-30",
AND(I385=0),"당월",
TRUE,"그외")</f>
        <v>그외</v>
      </c>
    </row>
    <row r="386" spans="1:10" ht="17.649999999999999" customHeight="1" x14ac:dyDescent="0.3">
      <c r="A386" s="4">
        <v>45658</v>
      </c>
      <c r="B386" s="5" t="s">
        <v>11</v>
      </c>
      <c r="C386" s="4">
        <v>45536</v>
      </c>
      <c r="D386" s="5" t="s">
        <v>10</v>
      </c>
      <c r="E386" s="6">
        <v>286</v>
      </c>
      <c r="F386" s="6">
        <v>324786.71328671329</v>
      </c>
      <c r="G386" s="6">
        <v>92889000</v>
      </c>
      <c r="H386" s="6">
        <v>10238800</v>
      </c>
      <c r="I386" s="6">
        <f t="shared" si="5"/>
        <v>122</v>
      </c>
      <c r="J386" t="str" cm="1">
        <f t="array" ref="J386">_xlfn.IFS(
AND(I386&gt;=89,I386&lt;=92),"D-90",
AND(I386&gt;=58,I386&lt;=62),"D-60",
AND(I386&gt;=28,I386&lt;=32),"D-30",
AND(I386=0),"당월",
TRUE,"그외")</f>
        <v>그외</v>
      </c>
    </row>
    <row r="387" spans="1:10" ht="17.649999999999999" customHeight="1" x14ac:dyDescent="0.3">
      <c r="A387" s="4">
        <v>45658</v>
      </c>
      <c r="B387" s="5" t="s">
        <v>11</v>
      </c>
      <c r="C387" s="4">
        <v>45566</v>
      </c>
      <c r="D387" s="5" t="s">
        <v>9</v>
      </c>
      <c r="E387" s="6">
        <v>596</v>
      </c>
      <c r="F387" s="6">
        <v>239144.96644295301</v>
      </c>
      <c r="G387" s="6">
        <v>142530400</v>
      </c>
      <c r="H387" s="6">
        <v>15138400</v>
      </c>
      <c r="I387" s="6">
        <f t="shared" ref="I387:I450" si="6">A387-C387</f>
        <v>92</v>
      </c>
      <c r="J387" t="str" cm="1">
        <f t="array" ref="J387">_xlfn.IFS(
AND(I387&gt;=89,I387&lt;=92),"D-90",
AND(I387&gt;=58,I387&lt;=62),"D-60",
AND(I387&gt;=28,I387&lt;=32),"D-30",
AND(I387=0),"당월",
TRUE,"그외")</f>
        <v>D-90</v>
      </c>
    </row>
    <row r="388" spans="1:10" ht="17.649999999999999" customHeight="1" x14ac:dyDescent="0.3">
      <c r="A388" s="4">
        <v>45658</v>
      </c>
      <c r="B388" s="5" t="s">
        <v>11</v>
      </c>
      <c r="C388" s="4">
        <v>45566</v>
      </c>
      <c r="D388" s="5" t="s">
        <v>10</v>
      </c>
      <c r="E388" s="6">
        <v>652</v>
      </c>
      <c r="F388" s="6">
        <v>344431.65490797552</v>
      </c>
      <c r="G388" s="6">
        <v>224569439</v>
      </c>
      <c r="H388" s="6">
        <v>16640092</v>
      </c>
      <c r="I388" s="6">
        <f t="shared" si="6"/>
        <v>92</v>
      </c>
      <c r="J388" t="str" cm="1">
        <f t="array" ref="J388">_xlfn.IFS(
AND(I388&gt;=89,I388&lt;=92),"D-90",
AND(I388&gt;=58,I388&lt;=62),"D-60",
AND(I388&gt;=28,I388&lt;=32),"D-30",
AND(I388=0),"당월",
TRUE,"그외")</f>
        <v>D-90</v>
      </c>
    </row>
    <row r="389" spans="1:10" ht="17.649999999999999" customHeight="1" x14ac:dyDescent="0.3">
      <c r="A389" s="4">
        <v>45658</v>
      </c>
      <c r="B389" s="5" t="s">
        <v>11</v>
      </c>
      <c r="C389" s="4">
        <v>45597</v>
      </c>
      <c r="D389" s="5" t="s">
        <v>9</v>
      </c>
      <c r="E389" s="6">
        <v>2324</v>
      </c>
      <c r="F389" s="6">
        <v>242158.17555938041</v>
      </c>
      <c r="G389" s="6">
        <v>562775600</v>
      </c>
      <c r="H389" s="6">
        <v>59029600</v>
      </c>
      <c r="I389" s="6">
        <f t="shared" si="6"/>
        <v>61</v>
      </c>
      <c r="J389" t="str" cm="1">
        <f t="array" ref="J389">_xlfn.IFS(
AND(I389&gt;=89,I389&lt;=92),"D-90",
AND(I389&gt;=58,I389&lt;=62),"D-60",
AND(I389&gt;=28,I389&lt;=32),"D-30",
AND(I389=0),"당월",
TRUE,"그외")</f>
        <v>D-60</v>
      </c>
    </row>
    <row r="390" spans="1:10" ht="17.649999999999999" customHeight="1" x14ac:dyDescent="0.3">
      <c r="A390" s="4">
        <v>45658</v>
      </c>
      <c r="B390" s="5" t="s">
        <v>11</v>
      </c>
      <c r="C390" s="4">
        <v>45597</v>
      </c>
      <c r="D390" s="5" t="s">
        <v>10</v>
      </c>
      <c r="E390" s="6">
        <v>838</v>
      </c>
      <c r="F390" s="6">
        <v>374122.06324582337</v>
      </c>
      <c r="G390" s="6">
        <v>313514289</v>
      </c>
      <c r="H390" s="6">
        <v>21378965</v>
      </c>
      <c r="I390" s="6">
        <f t="shared" si="6"/>
        <v>61</v>
      </c>
      <c r="J390" t="str" cm="1">
        <f t="array" ref="J390">_xlfn.IFS(
AND(I390&gt;=89,I390&lt;=92),"D-90",
AND(I390&gt;=58,I390&lt;=62),"D-60",
AND(I390&gt;=28,I390&lt;=32),"D-30",
AND(I390=0),"당월",
TRUE,"그외")</f>
        <v>D-60</v>
      </c>
    </row>
    <row r="391" spans="1:10" ht="17.649999999999999" customHeight="1" x14ac:dyDescent="0.3">
      <c r="A391" s="4">
        <v>45658</v>
      </c>
      <c r="B391" s="5" t="s">
        <v>11</v>
      </c>
      <c r="C391" s="4">
        <v>45627</v>
      </c>
      <c r="D391" s="5" t="s">
        <v>9</v>
      </c>
      <c r="E391" s="6">
        <v>1028</v>
      </c>
      <c r="F391" s="6">
        <v>265018.38521400781</v>
      </c>
      <c r="G391" s="6">
        <v>272438900</v>
      </c>
      <c r="H391" s="6">
        <v>31346900</v>
      </c>
      <c r="I391" s="6">
        <f t="shared" si="6"/>
        <v>31</v>
      </c>
      <c r="J391" t="str" cm="1">
        <f t="array" ref="J391">_xlfn.IFS(
AND(I391&gt;=89,I391&lt;=92),"D-90",
AND(I391&gt;=58,I391&lt;=62),"D-60",
AND(I391&gt;=28,I391&lt;=32),"D-30",
AND(I391=0),"당월",
TRUE,"그외")</f>
        <v>D-30</v>
      </c>
    </row>
    <row r="392" spans="1:10" ht="17.649999999999999" customHeight="1" x14ac:dyDescent="0.3">
      <c r="A392" s="4">
        <v>45658</v>
      </c>
      <c r="B392" s="5" t="s">
        <v>11</v>
      </c>
      <c r="C392" s="4">
        <v>45627</v>
      </c>
      <c r="D392" s="5" t="s">
        <v>10</v>
      </c>
      <c r="E392" s="6">
        <v>1754</v>
      </c>
      <c r="F392" s="6">
        <v>314636.4407069555</v>
      </c>
      <c r="G392" s="6">
        <v>551872317</v>
      </c>
      <c r="H392" s="6">
        <v>53491317</v>
      </c>
      <c r="I392" s="6">
        <f t="shared" si="6"/>
        <v>31</v>
      </c>
      <c r="J392" t="str" cm="1">
        <f t="array" ref="J392">_xlfn.IFS(
AND(I392&gt;=89,I392&lt;=92),"D-90",
AND(I392&gt;=58,I392&lt;=62),"D-60",
AND(I392&gt;=28,I392&lt;=32),"D-30",
AND(I392=0),"당월",
TRUE,"그외")</f>
        <v>D-30</v>
      </c>
    </row>
    <row r="393" spans="1:10" ht="17.649999999999999" customHeight="1" x14ac:dyDescent="0.3">
      <c r="A393" s="4">
        <v>45658</v>
      </c>
      <c r="B393" s="5" t="s">
        <v>11</v>
      </c>
      <c r="C393" s="4">
        <v>45658</v>
      </c>
      <c r="D393" s="5" t="s">
        <v>9</v>
      </c>
      <c r="E393" s="6">
        <v>374</v>
      </c>
      <c r="F393" s="6">
        <v>319728.3422459893</v>
      </c>
      <c r="G393" s="6">
        <v>119578400</v>
      </c>
      <c r="H393" s="6">
        <v>11560400</v>
      </c>
      <c r="I393" s="6">
        <f t="shared" si="6"/>
        <v>0</v>
      </c>
      <c r="J393" t="str" cm="1">
        <f t="array" ref="J393">_xlfn.IFS(
AND(I393&gt;=89,I393&lt;=92),"D-90",
AND(I393&gt;=58,I393&lt;=62),"D-60",
AND(I393&gt;=28,I393&lt;=32),"D-30",
AND(I393=0),"당월",
TRUE,"그외")</f>
        <v>당월</v>
      </c>
    </row>
    <row r="394" spans="1:10" ht="17.649999999999999" customHeight="1" x14ac:dyDescent="0.3">
      <c r="A394" s="4">
        <v>45658</v>
      </c>
      <c r="B394" s="5" t="s">
        <v>11</v>
      </c>
      <c r="C394" s="4">
        <v>45658</v>
      </c>
      <c r="D394" s="5" t="s">
        <v>10</v>
      </c>
      <c r="E394" s="6">
        <v>1349</v>
      </c>
      <c r="F394" s="6">
        <v>284273.42920681991</v>
      </c>
      <c r="G394" s="6">
        <v>383484856</v>
      </c>
      <c r="H394" s="6">
        <v>42177390</v>
      </c>
      <c r="I394" s="6">
        <f t="shared" si="6"/>
        <v>0</v>
      </c>
      <c r="J394" t="str" cm="1">
        <f t="array" ref="J394">_xlfn.IFS(
AND(I394&gt;=89,I394&lt;=92),"D-90",
AND(I394&gt;=58,I394&lt;=62),"D-60",
AND(I394&gt;=28,I394&lt;=32),"D-30",
AND(I394=0),"당월",
TRUE,"그외")</f>
        <v>당월</v>
      </c>
    </row>
    <row r="395" spans="1:10" ht="17.649999999999999" customHeight="1" x14ac:dyDescent="0.3">
      <c r="A395" s="4">
        <v>45658</v>
      </c>
      <c r="B395" s="5" t="s">
        <v>12</v>
      </c>
      <c r="C395" s="4">
        <v>45505</v>
      </c>
      <c r="D395" s="5" t="s">
        <v>10</v>
      </c>
      <c r="E395" s="6">
        <v>218</v>
      </c>
      <c r="F395" s="6">
        <v>245559.69724770641</v>
      </c>
      <c r="G395" s="6">
        <v>53532014</v>
      </c>
      <c r="H395" s="6">
        <v>8736746</v>
      </c>
      <c r="I395" s="6">
        <f t="shared" si="6"/>
        <v>153</v>
      </c>
      <c r="J395" t="str" cm="1">
        <f t="array" ref="J395">_xlfn.IFS(
AND(I395&gt;=89,I395&lt;=92),"D-90",
AND(I395&gt;=58,I395&lt;=62),"D-60",
AND(I395&gt;=28,I395&lt;=32),"D-30",
AND(I395=0),"당월",
TRUE,"그외")</f>
        <v>그외</v>
      </c>
    </row>
    <row r="396" spans="1:10" ht="17.649999999999999" customHeight="1" x14ac:dyDescent="0.3">
      <c r="A396" s="4">
        <v>45658</v>
      </c>
      <c r="B396" s="5" t="s">
        <v>12</v>
      </c>
      <c r="C396" s="4">
        <v>45536</v>
      </c>
      <c r="D396" s="5" t="s">
        <v>10</v>
      </c>
      <c r="E396" s="6">
        <v>142</v>
      </c>
      <c r="F396" s="6">
        <v>310834.30985915492</v>
      </c>
      <c r="G396" s="6">
        <v>44138472</v>
      </c>
      <c r="H396" s="6">
        <v>5146744</v>
      </c>
      <c r="I396" s="6">
        <f t="shared" si="6"/>
        <v>122</v>
      </c>
      <c r="J396" t="str" cm="1">
        <f t="array" ref="J396">_xlfn.IFS(
AND(I396&gt;=89,I396&lt;=92),"D-90",
AND(I396&gt;=58,I396&lt;=62),"D-60",
AND(I396&gt;=28,I396&lt;=32),"D-30",
AND(I396=0),"당월",
TRUE,"그외")</f>
        <v>그외</v>
      </c>
    </row>
    <row r="397" spans="1:10" ht="17.649999999999999" customHeight="1" x14ac:dyDescent="0.3">
      <c r="A397" s="4">
        <v>45658</v>
      </c>
      <c r="B397" s="5" t="s">
        <v>12</v>
      </c>
      <c r="C397" s="4">
        <v>45566</v>
      </c>
      <c r="D397" s="5" t="s">
        <v>9</v>
      </c>
      <c r="E397" s="6">
        <v>16</v>
      </c>
      <c r="F397" s="6">
        <v>275400</v>
      </c>
      <c r="G397" s="6">
        <v>4406400</v>
      </c>
      <c r="H397" s="6">
        <v>406400</v>
      </c>
      <c r="I397" s="6">
        <f t="shared" si="6"/>
        <v>92</v>
      </c>
      <c r="J397" t="str" cm="1">
        <f t="array" ref="J397">_xlfn.IFS(
AND(I397&gt;=89,I397&lt;=92),"D-90",
AND(I397&gt;=58,I397&lt;=62),"D-60",
AND(I397&gt;=28,I397&lt;=32),"D-30",
AND(I397=0),"당월",
TRUE,"그외")</f>
        <v>D-90</v>
      </c>
    </row>
    <row r="398" spans="1:10" ht="17.649999999999999" customHeight="1" x14ac:dyDescent="0.3">
      <c r="A398" s="4">
        <v>45658</v>
      </c>
      <c r="B398" s="5" t="s">
        <v>12</v>
      </c>
      <c r="C398" s="4">
        <v>45566</v>
      </c>
      <c r="D398" s="5" t="s">
        <v>10</v>
      </c>
      <c r="E398" s="6">
        <v>221</v>
      </c>
      <c r="F398" s="6">
        <v>314557.5248868778</v>
      </c>
      <c r="G398" s="6">
        <v>69517213</v>
      </c>
      <c r="H398" s="6">
        <v>5626466</v>
      </c>
      <c r="I398" s="6">
        <f t="shared" si="6"/>
        <v>92</v>
      </c>
      <c r="J398" t="str" cm="1">
        <f t="array" ref="J398">_xlfn.IFS(
AND(I398&gt;=89,I398&lt;=92),"D-90",
AND(I398&gt;=58,I398&lt;=62),"D-60",
AND(I398&gt;=28,I398&lt;=32),"D-30",
AND(I398=0),"당월",
TRUE,"그외")</f>
        <v>D-90</v>
      </c>
    </row>
    <row r="399" spans="1:10" ht="17.649999999999999" customHeight="1" x14ac:dyDescent="0.3">
      <c r="A399" s="4">
        <v>45658</v>
      </c>
      <c r="B399" s="5" t="s">
        <v>12</v>
      </c>
      <c r="C399" s="4">
        <v>45597</v>
      </c>
      <c r="D399" s="5" t="s">
        <v>9</v>
      </c>
      <c r="E399" s="6">
        <v>553</v>
      </c>
      <c r="F399" s="6">
        <v>269405.42495479202</v>
      </c>
      <c r="G399" s="6">
        <v>148981200</v>
      </c>
      <c r="H399" s="6">
        <v>14046200</v>
      </c>
      <c r="I399" s="6">
        <f t="shared" si="6"/>
        <v>61</v>
      </c>
      <c r="J399" t="str" cm="1">
        <f t="array" ref="J399">_xlfn.IFS(
AND(I399&gt;=89,I399&lt;=92),"D-90",
AND(I399&gt;=58,I399&lt;=62),"D-60",
AND(I399&gt;=28,I399&lt;=32),"D-30",
AND(I399=0),"당월",
TRUE,"그외")</f>
        <v>D-60</v>
      </c>
    </row>
    <row r="400" spans="1:10" ht="17.649999999999999" customHeight="1" x14ac:dyDescent="0.3">
      <c r="A400" s="4">
        <v>45658</v>
      </c>
      <c r="B400" s="5" t="s">
        <v>12</v>
      </c>
      <c r="C400" s="4">
        <v>45597</v>
      </c>
      <c r="D400" s="5" t="s">
        <v>10</v>
      </c>
      <c r="E400" s="6">
        <v>1212</v>
      </c>
      <c r="F400" s="6">
        <v>254766.34158415839</v>
      </c>
      <c r="G400" s="6">
        <v>308776806</v>
      </c>
      <c r="H400" s="6">
        <v>31167087</v>
      </c>
      <c r="I400" s="6">
        <f t="shared" si="6"/>
        <v>61</v>
      </c>
      <c r="J400" t="str" cm="1">
        <f t="array" ref="J400">_xlfn.IFS(
AND(I400&gt;=89,I400&lt;=92),"D-90",
AND(I400&gt;=58,I400&lt;=62),"D-60",
AND(I400&gt;=28,I400&lt;=32),"D-30",
AND(I400=0),"당월",
TRUE,"그외")</f>
        <v>D-60</v>
      </c>
    </row>
    <row r="401" spans="1:10" ht="17.649999999999999" customHeight="1" x14ac:dyDescent="0.3">
      <c r="A401" s="4">
        <v>45658</v>
      </c>
      <c r="B401" s="5" t="s">
        <v>12</v>
      </c>
      <c r="C401" s="4">
        <v>45627</v>
      </c>
      <c r="D401" s="5" t="s">
        <v>9</v>
      </c>
      <c r="E401" s="6">
        <v>2157</v>
      </c>
      <c r="F401" s="6">
        <v>258161.5669911915</v>
      </c>
      <c r="G401" s="6">
        <v>556854500</v>
      </c>
      <c r="H401" s="6">
        <v>65788500</v>
      </c>
      <c r="I401" s="6">
        <f t="shared" si="6"/>
        <v>31</v>
      </c>
      <c r="J401" t="str" cm="1">
        <f t="array" ref="J401">_xlfn.IFS(
AND(I401&gt;=89,I401&lt;=92),"D-90",
AND(I401&gt;=58,I401&lt;=62),"D-60",
AND(I401&gt;=28,I401&lt;=32),"D-30",
AND(I401=0),"당월",
TRUE,"그외")</f>
        <v>D-30</v>
      </c>
    </row>
    <row r="402" spans="1:10" ht="17.649999999999999" customHeight="1" x14ac:dyDescent="0.3">
      <c r="A402" s="4">
        <v>45658</v>
      </c>
      <c r="B402" s="5" t="s">
        <v>12</v>
      </c>
      <c r="C402" s="4">
        <v>45627</v>
      </c>
      <c r="D402" s="5" t="s">
        <v>10</v>
      </c>
      <c r="E402" s="6">
        <v>2398</v>
      </c>
      <c r="F402" s="6">
        <v>255214.71768140121</v>
      </c>
      <c r="G402" s="6">
        <v>612004893</v>
      </c>
      <c r="H402" s="6">
        <v>73618686</v>
      </c>
      <c r="I402" s="6">
        <f t="shared" si="6"/>
        <v>31</v>
      </c>
      <c r="J402" t="str" cm="1">
        <f t="array" ref="J402">_xlfn.IFS(
AND(I402&gt;=89,I402&lt;=92),"D-90",
AND(I402&gt;=58,I402&lt;=62),"D-60",
AND(I402&gt;=28,I402&lt;=32),"D-30",
AND(I402=0),"당월",
TRUE,"그외")</f>
        <v>D-30</v>
      </c>
    </row>
    <row r="403" spans="1:10" ht="17.649999999999999" customHeight="1" x14ac:dyDescent="0.3">
      <c r="A403" s="4">
        <v>45658</v>
      </c>
      <c r="B403" s="5" t="s">
        <v>12</v>
      </c>
      <c r="C403" s="4">
        <v>45658</v>
      </c>
      <c r="D403" s="5" t="s">
        <v>9</v>
      </c>
      <c r="E403" s="6">
        <v>1517</v>
      </c>
      <c r="F403" s="6">
        <v>244409.4264996704</v>
      </c>
      <c r="G403" s="6">
        <v>370769100</v>
      </c>
      <c r="H403" s="6">
        <v>11261100</v>
      </c>
      <c r="I403" s="6">
        <f t="shared" si="6"/>
        <v>0</v>
      </c>
      <c r="J403" t="str" cm="1">
        <f t="array" ref="J403">_xlfn.IFS(
AND(I403&gt;=89,I403&lt;=92),"D-90",
AND(I403&gt;=58,I403&lt;=62),"D-60",
AND(I403&gt;=28,I403&lt;=32),"D-30",
AND(I403=0),"당월",
TRUE,"그외")</f>
        <v>당월</v>
      </c>
    </row>
    <row r="404" spans="1:10" ht="17.649999999999999" customHeight="1" x14ac:dyDescent="0.3">
      <c r="A404" s="4">
        <v>45658</v>
      </c>
      <c r="B404" s="5" t="s">
        <v>12</v>
      </c>
      <c r="C404" s="4">
        <v>45658</v>
      </c>
      <c r="D404" s="5" t="s">
        <v>10</v>
      </c>
      <c r="E404" s="6">
        <v>1303</v>
      </c>
      <c r="F404" s="6">
        <v>253376.03376822721</v>
      </c>
      <c r="G404" s="6">
        <v>330148972</v>
      </c>
      <c r="H404" s="6">
        <v>40126022</v>
      </c>
      <c r="I404" s="6">
        <f t="shared" si="6"/>
        <v>0</v>
      </c>
      <c r="J404" t="str" cm="1">
        <f t="array" ref="J404">_xlfn.IFS(
AND(I404&gt;=89,I404&lt;=92),"D-90",
AND(I404&gt;=58,I404&lt;=62),"D-60",
AND(I404&gt;=28,I404&lt;=32),"D-30",
AND(I404=0),"당월",
TRUE,"그외")</f>
        <v>당월</v>
      </c>
    </row>
    <row r="405" spans="1:10" ht="17.649999999999999" customHeight="1" x14ac:dyDescent="0.3">
      <c r="A405" s="4">
        <v>45658</v>
      </c>
      <c r="B405" s="5" t="s">
        <v>13</v>
      </c>
      <c r="C405" s="4">
        <v>45505</v>
      </c>
      <c r="D405" s="5" t="s">
        <v>10</v>
      </c>
      <c r="E405" s="6">
        <v>158</v>
      </c>
      <c r="F405" s="6">
        <v>210548.1012658228</v>
      </c>
      <c r="G405" s="6">
        <v>33266600</v>
      </c>
      <c r="H405" s="6">
        <v>6335800</v>
      </c>
      <c r="I405" s="6">
        <f t="shared" si="6"/>
        <v>153</v>
      </c>
      <c r="J405" t="str" cm="1">
        <f t="array" ref="J405">_xlfn.IFS(
AND(I405&gt;=89,I405&lt;=92),"D-90",
AND(I405&gt;=58,I405&lt;=62),"D-60",
AND(I405&gt;=28,I405&lt;=32),"D-30",
AND(I405=0),"당월",
TRUE,"그외")</f>
        <v>그외</v>
      </c>
    </row>
    <row r="406" spans="1:10" ht="17.649999999999999" customHeight="1" x14ac:dyDescent="0.3">
      <c r="A406" s="4">
        <v>45658</v>
      </c>
      <c r="B406" s="5" t="s">
        <v>13</v>
      </c>
      <c r="C406" s="4">
        <v>45536</v>
      </c>
      <c r="D406" s="5" t="s">
        <v>9</v>
      </c>
      <c r="E406" s="6">
        <v>10</v>
      </c>
      <c r="F406" s="6">
        <v>266800</v>
      </c>
      <c r="G406" s="6">
        <v>2668000</v>
      </c>
      <c r="H406" s="6">
        <v>358000</v>
      </c>
      <c r="I406" s="6">
        <f t="shared" si="6"/>
        <v>122</v>
      </c>
      <c r="J406" t="str" cm="1">
        <f t="array" ref="J406">_xlfn.IFS(
AND(I406&gt;=89,I406&lt;=92),"D-90",
AND(I406&gt;=58,I406&lt;=62),"D-60",
AND(I406&gt;=28,I406&lt;=32),"D-30",
AND(I406=0),"당월",
TRUE,"그외")</f>
        <v>그외</v>
      </c>
    </row>
    <row r="407" spans="1:10" ht="17.649999999999999" customHeight="1" x14ac:dyDescent="0.3">
      <c r="A407" s="4">
        <v>45658</v>
      </c>
      <c r="B407" s="5" t="s">
        <v>13</v>
      </c>
      <c r="C407" s="4">
        <v>45536</v>
      </c>
      <c r="D407" s="5" t="s">
        <v>10</v>
      </c>
      <c r="E407" s="6">
        <v>85</v>
      </c>
      <c r="F407" s="6">
        <v>312711.76470588229</v>
      </c>
      <c r="G407" s="6">
        <v>26580500</v>
      </c>
      <c r="H407" s="6">
        <v>3043000</v>
      </c>
      <c r="I407" s="6">
        <f t="shared" si="6"/>
        <v>122</v>
      </c>
      <c r="J407" t="str" cm="1">
        <f t="array" ref="J407">_xlfn.IFS(
AND(I407&gt;=89,I407&lt;=92),"D-90",
AND(I407&gt;=58,I407&lt;=62),"D-60",
AND(I407&gt;=28,I407&lt;=32),"D-30",
AND(I407=0),"당월",
TRUE,"그외")</f>
        <v>그외</v>
      </c>
    </row>
    <row r="408" spans="1:10" ht="17.649999999999999" customHeight="1" x14ac:dyDescent="0.3">
      <c r="A408" s="4">
        <v>45658</v>
      </c>
      <c r="B408" s="5" t="s">
        <v>13</v>
      </c>
      <c r="C408" s="4">
        <v>45566</v>
      </c>
      <c r="D408" s="5" t="s">
        <v>9</v>
      </c>
      <c r="E408" s="6">
        <v>98</v>
      </c>
      <c r="F408" s="6">
        <v>310624.48979591829</v>
      </c>
      <c r="G408" s="6">
        <v>30441200</v>
      </c>
      <c r="H408" s="6">
        <v>2489200</v>
      </c>
      <c r="I408" s="6">
        <f t="shared" si="6"/>
        <v>92</v>
      </c>
      <c r="J408" t="str" cm="1">
        <f t="array" ref="J408">_xlfn.IFS(
AND(I408&gt;=89,I408&lt;=92),"D-90",
AND(I408&gt;=58,I408&lt;=62),"D-60",
AND(I408&gt;=28,I408&lt;=32),"D-30",
AND(I408=0),"당월",
TRUE,"그외")</f>
        <v>D-90</v>
      </c>
    </row>
    <row r="409" spans="1:10" ht="17.649999999999999" customHeight="1" x14ac:dyDescent="0.3">
      <c r="A409" s="4">
        <v>45658</v>
      </c>
      <c r="B409" s="5" t="s">
        <v>13</v>
      </c>
      <c r="C409" s="4">
        <v>45566</v>
      </c>
      <c r="D409" s="5" t="s">
        <v>10</v>
      </c>
      <c r="E409" s="6">
        <v>396</v>
      </c>
      <c r="F409" s="6">
        <v>279962.47727272729</v>
      </c>
      <c r="G409" s="6">
        <v>110865141</v>
      </c>
      <c r="H409" s="6">
        <v>10190639</v>
      </c>
      <c r="I409" s="6">
        <f t="shared" si="6"/>
        <v>92</v>
      </c>
      <c r="J409" t="str" cm="1">
        <f t="array" ref="J409">_xlfn.IFS(
AND(I409&gt;=89,I409&lt;=92),"D-90",
AND(I409&gt;=58,I409&lt;=62),"D-60",
AND(I409&gt;=28,I409&lt;=32),"D-30",
AND(I409=0),"당월",
TRUE,"그외")</f>
        <v>D-90</v>
      </c>
    </row>
    <row r="410" spans="1:10" ht="17.649999999999999" customHeight="1" x14ac:dyDescent="0.3">
      <c r="A410" s="4">
        <v>45658</v>
      </c>
      <c r="B410" s="5" t="s">
        <v>13</v>
      </c>
      <c r="C410" s="4">
        <v>45597</v>
      </c>
      <c r="D410" s="5" t="s">
        <v>9</v>
      </c>
      <c r="E410" s="6">
        <v>888</v>
      </c>
      <c r="F410" s="6">
        <v>206984.90990990991</v>
      </c>
      <c r="G410" s="6">
        <v>183802600</v>
      </c>
      <c r="H410" s="6">
        <v>22565600</v>
      </c>
      <c r="I410" s="6">
        <f t="shared" si="6"/>
        <v>61</v>
      </c>
      <c r="J410" t="str" cm="1">
        <f t="array" ref="J410">_xlfn.IFS(
AND(I410&gt;=89,I410&lt;=92),"D-90",
AND(I410&gt;=58,I410&lt;=62),"D-60",
AND(I410&gt;=28,I410&lt;=32),"D-30",
AND(I410=0),"당월",
TRUE,"그외")</f>
        <v>D-60</v>
      </c>
    </row>
    <row r="411" spans="1:10" ht="17.649999999999999" customHeight="1" x14ac:dyDescent="0.3">
      <c r="A411" s="4">
        <v>45658</v>
      </c>
      <c r="B411" s="5" t="s">
        <v>13</v>
      </c>
      <c r="C411" s="4">
        <v>45597</v>
      </c>
      <c r="D411" s="5" t="s">
        <v>10</v>
      </c>
      <c r="E411" s="6">
        <v>1295</v>
      </c>
      <c r="F411" s="6">
        <v>267723.3945945946</v>
      </c>
      <c r="G411" s="6">
        <v>346701796</v>
      </c>
      <c r="H411" s="6">
        <v>33141065</v>
      </c>
      <c r="I411" s="6">
        <f t="shared" si="6"/>
        <v>61</v>
      </c>
      <c r="J411" t="str" cm="1">
        <f t="array" ref="J411">_xlfn.IFS(
AND(I411&gt;=89,I411&lt;=92),"D-90",
AND(I411&gt;=58,I411&lt;=62),"D-60",
AND(I411&gt;=28,I411&lt;=32),"D-30",
AND(I411=0),"당월",
TRUE,"그외")</f>
        <v>D-60</v>
      </c>
    </row>
    <row r="412" spans="1:10" ht="17.649999999999999" customHeight="1" x14ac:dyDescent="0.3">
      <c r="A412" s="4">
        <v>45658</v>
      </c>
      <c r="B412" s="5" t="s">
        <v>13</v>
      </c>
      <c r="C412" s="4">
        <v>45627</v>
      </c>
      <c r="D412" s="5" t="s">
        <v>9</v>
      </c>
      <c r="E412" s="6">
        <v>1556</v>
      </c>
      <c r="F412" s="6">
        <v>214391.1311053985</v>
      </c>
      <c r="G412" s="6">
        <v>333592600</v>
      </c>
      <c r="H412" s="6">
        <v>47437600</v>
      </c>
      <c r="I412" s="6">
        <f t="shared" si="6"/>
        <v>31</v>
      </c>
      <c r="J412" t="str" cm="1">
        <f t="array" ref="J412">_xlfn.IFS(
AND(I412&gt;=89,I412&lt;=92),"D-90",
AND(I412&gt;=58,I412&lt;=62),"D-60",
AND(I412&gt;=28,I412&lt;=32),"D-30",
AND(I412=0),"당월",
TRUE,"그외")</f>
        <v>D-30</v>
      </c>
    </row>
    <row r="413" spans="1:10" ht="17.649999999999999" customHeight="1" x14ac:dyDescent="0.3">
      <c r="A413" s="4">
        <v>45658</v>
      </c>
      <c r="B413" s="5" t="s">
        <v>13</v>
      </c>
      <c r="C413" s="4">
        <v>45627</v>
      </c>
      <c r="D413" s="5" t="s">
        <v>10</v>
      </c>
      <c r="E413" s="6">
        <v>1977</v>
      </c>
      <c r="F413" s="6">
        <v>249643.3808801214</v>
      </c>
      <c r="G413" s="6">
        <v>493544964</v>
      </c>
      <c r="H413" s="6">
        <v>60409518</v>
      </c>
      <c r="I413" s="6">
        <f t="shared" si="6"/>
        <v>31</v>
      </c>
      <c r="J413" t="str" cm="1">
        <f t="array" ref="J413">_xlfn.IFS(
AND(I413&gt;=89,I413&lt;=92),"D-90",
AND(I413&gt;=58,I413&lt;=62),"D-60",
AND(I413&gt;=28,I413&lt;=32),"D-30",
AND(I413=0),"당월",
TRUE,"그외")</f>
        <v>D-30</v>
      </c>
    </row>
    <row r="414" spans="1:10" ht="17.649999999999999" customHeight="1" x14ac:dyDescent="0.3">
      <c r="A414" s="4">
        <v>45658</v>
      </c>
      <c r="B414" s="5" t="s">
        <v>13</v>
      </c>
      <c r="C414" s="4">
        <v>45658</v>
      </c>
      <c r="D414" s="5" t="s">
        <v>9</v>
      </c>
      <c r="E414" s="6">
        <v>1504</v>
      </c>
      <c r="F414" s="6">
        <v>270767.68617021269</v>
      </c>
      <c r="G414" s="6">
        <v>407234600</v>
      </c>
      <c r="H414" s="6">
        <v>12963600</v>
      </c>
      <c r="I414" s="6">
        <f t="shared" si="6"/>
        <v>0</v>
      </c>
      <c r="J414" t="str" cm="1">
        <f t="array" ref="J414">_xlfn.IFS(
AND(I414&gt;=89,I414&lt;=92),"D-90",
AND(I414&gt;=58,I414&lt;=62),"D-60",
AND(I414&gt;=28,I414&lt;=32),"D-30",
AND(I414=0),"당월",
TRUE,"그외")</f>
        <v>당월</v>
      </c>
    </row>
    <row r="415" spans="1:10" ht="17.649999999999999" customHeight="1" x14ac:dyDescent="0.3">
      <c r="A415" s="4">
        <v>45658</v>
      </c>
      <c r="B415" s="5" t="s">
        <v>13</v>
      </c>
      <c r="C415" s="4">
        <v>45658</v>
      </c>
      <c r="D415" s="5" t="s">
        <v>10</v>
      </c>
      <c r="E415" s="6">
        <v>1458</v>
      </c>
      <c r="F415" s="6">
        <v>252935.9602194787</v>
      </c>
      <c r="G415" s="6">
        <v>368780630</v>
      </c>
      <c r="H415" s="6">
        <v>45302173</v>
      </c>
      <c r="I415" s="6">
        <f t="shared" si="6"/>
        <v>0</v>
      </c>
      <c r="J415" t="str" cm="1">
        <f t="array" ref="J415">_xlfn.IFS(
AND(I415&gt;=89,I415&lt;=92),"D-90",
AND(I415&gt;=58,I415&lt;=62),"D-60",
AND(I415&gt;=28,I415&lt;=32),"D-30",
AND(I415=0),"당월",
TRUE,"그외")</f>
        <v>당월</v>
      </c>
    </row>
    <row r="416" spans="1:10" ht="17.649999999999999" customHeight="1" x14ac:dyDescent="0.3">
      <c r="A416" s="4">
        <v>45689</v>
      </c>
      <c r="B416" s="5" t="s">
        <v>8</v>
      </c>
      <c r="C416" s="4">
        <v>45536</v>
      </c>
      <c r="D416" s="5" t="s">
        <v>10</v>
      </c>
      <c r="E416" s="6">
        <v>212</v>
      </c>
      <c r="F416" s="6">
        <v>268917.09433962271</v>
      </c>
      <c r="G416" s="6">
        <v>57010424</v>
      </c>
      <c r="H416" s="6">
        <v>7595621</v>
      </c>
      <c r="I416" s="6">
        <f t="shared" si="6"/>
        <v>153</v>
      </c>
      <c r="J416" t="str" cm="1">
        <f t="array" ref="J416">_xlfn.IFS(
AND(I416&gt;=89,I416&lt;=92),"D-90",
AND(I416&gt;=58,I416&lt;=62),"D-60",
AND(I416&gt;=28,I416&lt;=32),"D-30",
AND(I416=0),"당월",
TRUE,"그외")</f>
        <v>그외</v>
      </c>
    </row>
    <row r="417" spans="1:10" ht="17.649999999999999" customHeight="1" x14ac:dyDescent="0.3">
      <c r="A417" s="4">
        <v>45689</v>
      </c>
      <c r="B417" s="5" t="s">
        <v>8</v>
      </c>
      <c r="C417" s="4">
        <v>45566</v>
      </c>
      <c r="D417" s="5" t="s">
        <v>10</v>
      </c>
      <c r="E417" s="6">
        <v>147</v>
      </c>
      <c r="F417" s="6">
        <v>272984.0544217687</v>
      </c>
      <c r="G417" s="6">
        <v>40128656</v>
      </c>
      <c r="H417" s="6">
        <v>3760034</v>
      </c>
      <c r="I417" s="6">
        <f t="shared" si="6"/>
        <v>123</v>
      </c>
      <c r="J417" t="str" cm="1">
        <f t="array" ref="J417">_xlfn.IFS(
AND(I417&gt;=89,I417&lt;=92),"D-90",
AND(I417&gt;=58,I417&lt;=62),"D-60",
AND(I417&gt;=28,I417&lt;=32),"D-30",
AND(I417=0),"당월",
TRUE,"그외")</f>
        <v>그외</v>
      </c>
    </row>
    <row r="418" spans="1:10" ht="17.649999999999999" customHeight="1" x14ac:dyDescent="0.3">
      <c r="A418" s="4">
        <v>45689</v>
      </c>
      <c r="B418" s="5" t="s">
        <v>8</v>
      </c>
      <c r="C418" s="4">
        <v>45597</v>
      </c>
      <c r="D418" s="5" t="s">
        <v>9</v>
      </c>
      <c r="E418" s="6">
        <v>290</v>
      </c>
      <c r="F418" s="6">
        <v>245813.79310344829</v>
      </c>
      <c r="G418" s="6">
        <v>71286000</v>
      </c>
      <c r="H418" s="6">
        <v>7366000</v>
      </c>
      <c r="I418" s="6">
        <f t="shared" si="6"/>
        <v>92</v>
      </c>
      <c r="J418" t="str" cm="1">
        <f t="array" ref="J418">_xlfn.IFS(
AND(I418&gt;=89,I418&lt;=92),"D-90",
AND(I418&gt;=58,I418&lt;=62),"D-60",
AND(I418&gt;=28,I418&lt;=32),"D-30",
AND(I418=0),"당월",
TRUE,"그외")</f>
        <v>D-90</v>
      </c>
    </row>
    <row r="419" spans="1:10" ht="17.649999999999999" customHeight="1" x14ac:dyDescent="0.3">
      <c r="A419" s="4">
        <v>45689</v>
      </c>
      <c r="B419" s="5" t="s">
        <v>8</v>
      </c>
      <c r="C419" s="4">
        <v>45597</v>
      </c>
      <c r="D419" s="5" t="s">
        <v>10</v>
      </c>
      <c r="E419" s="6">
        <v>155</v>
      </c>
      <c r="F419" s="6">
        <v>281244.43870967737</v>
      </c>
      <c r="G419" s="6">
        <v>43592888</v>
      </c>
      <c r="H419" s="6">
        <v>3761316</v>
      </c>
      <c r="I419" s="6">
        <f t="shared" si="6"/>
        <v>92</v>
      </c>
      <c r="J419" t="str" cm="1">
        <f t="array" ref="J419">_xlfn.IFS(
AND(I419&gt;=89,I419&lt;=92),"D-90",
AND(I419&gt;=58,I419&lt;=62),"D-60",
AND(I419&gt;=28,I419&lt;=32),"D-30",
AND(I419=0),"당월",
TRUE,"그외")</f>
        <v>D-90</v>
      </c>
    </row>
    <row r="420" spans="1:10" ht="17.649999999999999" customHeight="1" x14ac:dyDescent="0.3">
      <c r="A420" s="4">
        <v>45689</v>
      </c>
      <c r="B420" s="5" t="s">
        <v>8</v>
      </c>
      <c r="C420" s="4">
        <v>45627</v>
      </c>
      <c r="D420" s="5" t="s">
        <v>9</v>
      </c>
      <c r="E420" s="6">
        <v>339</v>
      </c>
      <c r="F420" s="6">
        <v>440907.07964601769</v>
      </c>
      <c r="G420" s="6">
        <v>149467500</v>
      </c>
      <c r="H420" s="6">
        <v>10217500</v>
      </c>
      <c r="I420" s="6">
        <f t="shared" si="6"/>
        <v>62</v>
      </c>
      <c r="J420" t="str" cm="1">
        <f t="array" ref="J420">_xlfn.IFS(
AND(I420&gt;=89,I420&lt;=92),"D-90",
AND(I420&gt;=58,I420&lt;=62),"D-60",
AND(I420&gt;=28,I420&lt;=32),"D-30",
AND(I420=0),"당월",
TRUE,"그외")</f>
        <v>D-60</v>
      </c>
    </row>
    <row r="421" spans="1:10" ht="17.649999999999999" customHeight="1" x14ac:dyDescent="0.3">
      <c r="A421" s="4">
        <v>45689</v>
      </c>
      <c r="B421" s="5" t="s">
        <v>8</v>
      </c>
      <c r="C421" s="4">
        <v>45627</v>
      </c>
      <c r="D421" s="5" t="s">
        <v>10</v>
      </c>
      <c r="E421" s="6">
        <v>1619</v>
      </c>
      <c r="F421" s="6">
        <v>261984.25818406421</v>
      </c>
      <c r="G421" s="6">
        <v>424152514</v>
      </c>
      <c r="H421" s="6">
        <v>48052131</v>
      </c>
      <c r="I421" s="6">
        <f t="shared" si="6"/>
        <v>62</v>
      </c>
      <c r="J421" t="str" cm="1">
        <f t="array" ref="J421">_xlfn.IFS(
AND(I421&gt;=89,I421&lt;=92),"D-90",
AND(I421&gt;=58,I421&lt;=62),"D-60",
AND(I421&gt;=28,I421&lt;=32),"D-30",
AND(I421=0),"당월",
TRUE,"그외")</f>
        <v>D-60</v>
      </c>
    </row>
    <row r="422" spans="1:10" ht="17.649999999999999" customHeight="1" x14ac:dyDescent="0.3">
      <c r="A422" s="4">
        <v>45689</v>
      </c>
      <c r="B422" s="5" t="s">
        <v>8</v>
      </c>
      <c r="C422" s="4">
        <v>45658</v>
      </c>
      <c r="D422" s="5" t="s">
        <v>9</v>
      </c>
      <c r="E422" s="6">
        <v>1425</v>
      </c>
      <c r="F422" s="6">
        <v>452206.17543859652</v>
      </c>
      <c r="G422" s="6">
        <v>644393800</v>
      </c>
      <c r="H422" s="6">
        <v>42551800</v>
      </c>
      <c r="I422" s="6">
        <f t="shared" si="6"/>
        <v>31</v>
      </c>
      <c r="J422" t="str" cm="1">
        <f t="array" ref="J422">_xlfn.IFS(
AND(I422&gt;=89,I422&lt;=92),"D-90",
AND(I422&gt;=58,I422&lt;=62),"D-60",
AND(I422&gt;=28,I422&lt;=32),"D-30",
AND(I422=0),"당월",
TRUE,"그외")</f>
        <v>D-30</v>
      </c>
    </row>
    <row r="423" spans="1:10" ht="17.649999999999999" customHeight="1" x14ac:dyDescent="0.3">
      <c r="A423" s="4">
        <v>45689</v>
      </c>
      <c r="B423" s="5" t="s">
        <v>8</v>
      </c>
      <c r="C423" s="4">
        <v>45658</v>
      </c>
      <c r="D423" s="5" t="s">
        <v>10</v>
      </c>
      <c r="E423" s="6">
        <v>2874</v>
      </c>
      <c r="F423" s="6">
        <v>223131.65274878219</v>
      </c>
      <c r="G423" s="6">
        <v>641280370</v>
      </c>
      <c r="H423" s="6">
        <v>88620810</v>
      </c>
      <c r="I423" s="6">
        <f t="shared" si="6"/>
        <v>31</v>
      </c>
      <c r="J423" t="str" cm="1">
        <f t="array" ref="J423">_xlfn.IFS(
AND(I423&gt;=89,I423&lt;=92),"D-90",
AND(I423&gt;=58,I423&lt;=62),"D-60",
AND(I423&gt;=28,I423&lt;=32),"D-30",
AND(I423=0),"당월",
TRUE,"그외")</f>
        <v>D-30</v>
      </c>
    </row>
    <row r="424" spans="1:10" ht="17.649999999999999" customHeight="1" x14ac:dyDescent="0.3">
      <c r="A424" s="4">
        <v>45689</v>
      </c>
      <c r="B424" s="5" t="s">
        <v>8</v>
      </c>
      <c r="C424" s="4">
        <v>45689</v>
      </c>
      <c r="D424" s="5" t="s">
        <v>9</v>
      </c>
      <c r="E424" s="6">
        <v>1967</v>
      </c>
      <c r="F424" s="6">
        <v>66322.318251143879</v>
      </c>
      <c r="G424" s="6">
        <v>130456000</v>
      </c>
      <c r="H424" s="6">
        <v>63123000</v>
      </c>
      <c r="I424" s="6">
        <f t="shared" si="6"/>
        <v>0</v>
      </c>
      <c r="J424" t="str" cm="1">
        <f t="array" ref="J424">_xlfn.IFS(
AND(I424&gt;=89,I424&lt;=92),"D-90",
AND(I424&gt;=58,I424&lt;=62),"D-60",
AND(I424&gt;=28,I424&lt;=32),"D-30",
AND(I424=0),"당월",
TRUE,"그외")</f>
        <v>당월</v>
      </c>
    </row>
    <row r="425" spans="1:10" ht="17.649999999999999" customHeight="1" x14ac:dyDescent="0.3">
      <c r="A425" s="4">
        <v>45689</v>
      </c>
      <c r="B425" s="5" t="s">
        <v>8</v>
      </c>
      <c r="C425" s="4">
        <v>45689</v>
      </c>
      <c r="D425" s="5" t="s">
        <v>10</v>
      </c>
      <c r="E425" s="6">
        <v>904</v>
      </c>
      <c r="F425" s="6">
        <v>235921.4314159292</v>
      </c>
      <c r="G425" s="6">
        <v>213272974</v>
      </c>
      <c r="H425" s="6">
        <v>29440973</v>
      </c>
      <c r="I425" s="6">
        <f t="shared" si="6"/>
        <v>0</v>
      </c>
      <c r="J425" t="str" cm="1">
        <f t="array" ref="J425">_xlfn.IFS(
AND(I425&gt;=89,I425&lt;=92),"D-90",
AND(I425&gt;=58,I425&lt;=62),"D-60",
AND(I425&gt;=28,I425&lt;=32),"D-30",
AND(I425=0),"당월",
TRUE,"그외")</f>
        <v>당월</v>
      </c>
    </row>
    <row r="426" spans="1:10" ht="17.649999999999999" customHeight="1" x14ac:dyDescent="0.3">
      <c r="A426" s="4">
        <v>45689</v>
      </c>
      <c r="B426" s="5" t="s">
        <v>11</v>
      </c>
      <c r="C426" s="4">
        <v>45505</v>
      </c>
      <c r="D426" s="5" t="s">
        <v>10</v>
      </c>
      <c r="E426" s="6">
        <v>414</v>
      </c>
      <c r="F426" s="6">
        <v>281315.73913043481</v>
      </c>
      <c r="G426" s="6">
        <v>116464716</v>
      </c>
      <c r="H426" s="6">
        <v>16646328</v>
      </c>
      <c r="I426" s="6">
        <f t="shared" si="6"/>
        <v>184</v>
      </c>
      <c r="J426" t="str" cm="1">
        <f t="array" ref="J426">_xlfn.IFS(
AND(I426&gt;=89,I426&lt;=92),"D-90",
AND(I426&gt;=58,I426&lt;=62),"D-60",
AND(I426&gt;=28,I426&lt;=32),"D-30",
AND(I426=0),"당월",
TRUE,"그외")</f>
        <v>그외</v>
      </c>
    </row>
    <row r="427" spans="1:10" ht="17.649999999999999" customHeight="1" x14ac:dyDescent="0.3">
      <c r="A427" s="4">
        <v>45689</v>
      </c>
      <c r="B427" s="5" t="s">
        <v>11</v>
      </c>
      <c r="C427" s="4">
        <v>45536</v>
      </c>
      <c r="D427" s="5" t="s">
        <v>9</v>
      </c>
      <c r="E427" s="6">
        <v>62</v>
      </c>
      <c r="F427" s="6">
        <v>263187.09677419357</v>
      </c>
      <c r="G427" s="6">
        <v>16317600</v>
      </c>
      <c r="H427" s="6">
        <v>2219600</v>
      </c>
      <c r="I427" s="6">
        <f t="shared" si="6"/>
        <v>153</v>
      </c>
      <c r="J427" t="str" cm="1">
        <f t="array" ref="J427">_xlfn.IFS(
AND(I427&gt;=89,I427&lt;=92),"D-90",
AND(I427&gt;=58,I427&lt;=62),"D-60",
AND(I427&gt;=28,I427&lt;=32),"D-30",
AND(I427=0),"당월",
TRUE,"그외")</f>
        <v>그외</v>
      </c>
    </row>
    <row r="428" spans="1:10" ht="17.649999999999999" customHeight="1" x14ac:dyDescent="0.3">
      <c r="A428" s="4">
        <v>45689</v>
      </c>
      <c r="B428" s="5" t="s">
        <v>11</v>
      </c>
      <c r="C428" s="4">
        <v>45536</v>
      </c>
      <c r="D428" s="5" t="s">
        <v>10</v>
      </c>
      <c r="E428" s="6">
        <v>201</v>
      </c>
      <c r="F428" s="6">
        <v>315470.14925373142</v>
      </c>
      <c r="G428" s="6">
        <v>63409500</v>
      </c>
      <c r="H428" s="6">
        <v>7195800</v>
      </c>
      <c r="I428" s="6">
        <f t="shared" si="6"/>
        <v>153</v>
      </c>
      <c r="J428" t="str" cm="1">
        <f t="array" ref="J428">_xlfn.IFS(
AND(I428&gt;=89,I428&lt;=92),"D-90",
AND(I428&gt;=58,I428&lt;=62),"D-60",
AND(I428&gt;=28,I428&lt;=32),"D-30",
AND(I428=0),"당월",
TRUE,"그외")</f>
        <v>그외</v>
      </c>
    </row>
    <row r="429" spans="1:10" ht="17.649999999999999" customHeight="1" x14ac:dyDescent="0.3">
      <c r="A429" s="4">
        <v>45689</v>
      </c>
      <c r="B429" s="5" t="s">
        <v>11</v>
      </c>
      <c r="C429" s="4">
        <v>45566</v>
      </c>
      <c r="D429" s="5" t="s">
        <v>9</v>
      </c>
      <c r="E429" s="6">
        <v>288</v>
      </c>
      <c r="F429" s="6">
        <v>229983.33333333331</v>
      </c>
      <c r="G429" s="6">
        <v>66235200</v>
      </c>
      <c r="H429" s="6">
        <v>7315200</v>
      </c>
      <c r="I429" s="6">
        <f t="shared" si="6"/>
        <v>123</v>
      </c>
      <c r="J429" t="str" cm="1">
        <f t="array" ref="J429">_xlfn.IFS(
AND(I429&gt;=89,I429&lt;=92),"D-90",
AND(I429&gt;=58,I429&lt;=62),"D-60",
AND(I429&gt;=28,I429&lt;=32),"D-30",
AND(I429=0),"당월",
TRUE,"그외")</f>
        <v>그외</v>
      </c>
    </row>
    <row r="430" spans="1:10" ht="17.649999999999999" customHeight="1" x14ac:dyDescent="0.3">
      <c r="A430" s="4">
        <v>45689</v>
      </c>
      <c r="B430" s="5" t="s">
        <v>11</v>
      </c>
      <c r="C430" s="4">
        <v>45566</v>
      </c>
      <c r="D430" s="5" t="s">
        <v>10</v>
      </c>
      <c r="E430" s="6">
        <v>307</v>
      </c>
      <c r="F430" s="6">
        <v>314816.93811074918</v>
      </c>
      <c r="G430" s="6">
        <v>96648800</v>
      </c>
      <c r="H430" s="6">
        <v>7797800</v>
      </c>
      <c r="I430" s="6">
        <f t="shared" si="6"/>
        <v>123</v>
      </c>
      <c r="J430" t="str" cm="1">
        <f t="array" ref="J430">_xlfn.IFS(
AND(I430&gt;=89,I430&lt;=92),"D-90",
AND(I430&gt;=58,I430&lt;=62),"D-60",
AND(I430&gt;=28,I430&lt;=32),"D-30",
AND(I430=0),"당월",
TRUE,"그외")</f>
        <v>그외</v>
      </c>
    </row>
    <row r="431" spans="1:10" ht="17.649999999999999" customHeight="1" x14ac:dyDescent="0.3">
      <c r="A431" s="4">
        <v>45689</v>
      </c>
      <c r="B431" s="5" t="s">
        <v>11</v>
      </c>
      <c r="C431" s="4">
        <v>45597</v>
      </c>
      <c r="D431" s="5" t="s">
        <v>9</v>
      </c>
      <c r="E431" s="6">
        <v>1107</v>
      </c>
      <c r="F431" s="6">
        <v>241185.90785907861</v>
      </c>
      <c r="G431" s="6">
        <v>266992800</v>
      </c>
      <c r="H431" s="6">
        <v>28117800</v>
      </c>
      <c r="I431" s="6">
        <f t="shared" si="6"/>
        <v>92</v>
      </c>
      <c r="J431" t="str" cm="1">
        <f t="array" ref="J431">_xlfn.IFS(
AND(I431&gt;=89,I431&lt;=92),"D-90",
AND(I431&gt;=58,I431&lt;=62),"D-60",
AND(I431&gt;=28,I431&lt;=32),"D-30",
AND(I431=0),"당월",
TRUE,"그외")</f>
        <v>D-90</v>
      </c>
    </row>
    <row r="432" spans="1:10" ht="17.649999999999999" customHeight="1" x14ac:dyDescent="0.3">
      <c r="A432" s="4">
        <v>45689</v>
      </c>
      <c r="B432" s="5" t="s">
        <v>11</v>
      </c>
      <c r="C432" s="4">
        <v>45597</v>
      </c>
      <c r="D432" s="5" t="s">
        <v>10</v>
      </c>
      <c r="E432" s="6">
        <v>681</v>
      </c>
      <c r="F432" s="6">
        <v>315464.64170337742</v>
      </c>
      <c r="G432" s="6">
        <v>214831421</v>
      </c>
      <c r="H432" s="6">
        <v>17369225</v>
      </c>
      <c r="I432" s="6">
        <f t="shared" si="6"/>
        <v>92</v>
      </c>
      <c r="J432" t="str" cm="1">
        <f t="array" ref="J432">_xlfn.IFS(
AND(I432&gt;=89,I432&lt;=92),"D-90",
AND(I432&gt;=58,I432&lt;=62),"D-60",
AND(I432&gt;=28,I432&lt;=32),"D-30",
AND(I432=0),"당월",
TRUE,"그외")</f>
        <v>D-90</v>
      </c>
    </row>
    <row r="433" spans="1:10" ht="17.649999999999999" customHeight="1" x14ac:dyDescent="0.3">
      <c r="A433" s="4">
        <v>45689</v>
      </c>
      <c r="B433" s="5" t="s">
        <v>11</v>
      </c>
      <c r="C433" s="4">
        <v>45627</v>
      </c>
      <c r="D433" s="5" t="s">
        <v>9</v>
      </c>
      <c r="E433" s="6">
        <v>1468</v>
      </c>
      <c r="F433" s="6">
        <v>253925.61307901909</v>
      </c>
      <c r="G433" s="6">
        <v>372762800</v>
      </c>
      <c r="H433" s="6">
        <v>44763800</v>
      </c>
      <c r="I433" s="6">
        <f t="shared" si="6"/>
        <v>62</v>
      </c>
      <c r="J433" t="str" cm="1">
        <f t="array" ref="J433">_xlfn.IFS(
AND(I433&gt;=89,I433&lt;=92),"D-90",
AND(I433&gt;=58,I433&lt;=62),"D-60",
AND(I433&gt;=28,I433&lt;=32),"D-30",
AND(I433=0),"당월",
TRUE,"그외")</f>
        <v>D-60</v>
      </c>
    </row>
    <row r="434" spans="1:10" ht="17.649999999999999" customHeight="1" x14ac:dyDescent="0.3">
      <c r="A434" s="4">
        <v>45689</v>
      </c>
      <c r="B434" s="5" t="s">
        <v>11</v>
      </c>
      <c r="C434" s="4">
        <v>45627</v>
      </c>
      <c r="D434" s="5" t="s">
        <v>10</v>
      </c>
      <c r="E434" s="6">
        <v>782</v>
      </c>
      <c r="F434" s="6">
        <v>329356.99232736568</v>
      </c>
      <c r="G434" s="6">
        <v>257557168</v>
      </c>
      <c r="H434" s="6">
        <v>23903774</v>
      </c>
      <c r="I434" s="6">
        <f t="shared" si="6"/>
        <v>62</v>
      </c>
      <c r="J434" t="str" cm="1">
        <f t="array" ref="J434">_xlfn.IFS(
AND(I434&gt;=89,I434&lt;=92),"D-90",
AND(I434&gt;=58,I434&lt;=62),"D-60",
AND(I434&gt;=28,I434&lt;=32),"D-30",
AND(I434=0),"당월",
TRUE,"그외")</f>
        <v>D-60</v>
      </c>
    </row>
    <row r="435" spans="1:10" ht="17.649999999999999" customHeight="1" x14ac:dyDescent="0.3">
      <c r="A435" s="4">
        <v>45689</v>
      </c>
      <c r="B435" s="5" t="s">
        <v>11</v>
      </c>
      <c r="C435" s="4">
        <v>45658</v>
      </c>
      <c r="D435" s="5" t="s">
        <v>9</v>
      </c>
      <c r="E435" s="6">
        <v>577</v>
      </c>
      <c r="F435" s="6">
        <v>264003.11958405538</v>
      </c>
      <c r="G435" s="6">
        <v>152329800</v>
      </c>
      <c r="H435" s="6">
        <v>17845800</v>
      </c>
      <c r="I435" s="6">
        <f t="shared" si="6"/>
        <v>31</v>
      </c>
      <c r="J435" t="str" cm="1">
        <f t="array" ref="J435">_xlfn.IFS(
AND(I435&gt;=89,I435&lt;=92),"D-90",
AND(I435&gt;=58,I435&lt;=62),"D-60",
AND(I435&gt;=28,I435&lt;=32),"D-30",
AND(I435=0),"당월",
TRUE,"그외")</f>
        <v>D-30</v>
      </c>
    </row>
    <row r="436" spans="1:10" ht="17.649999999999999" customHeight="1" x14ac:dyDescent="0.3">
      <c r="A436" s="4">
        <v>45689</v>
      </c>
      <c r="B436" s="5" t="s">
        <v>11</v>
      </c>
      <c r="C436" s="4">
        <v>45658</v>
      </c>
      <c r="D436" s="5" t="s">
        <v>10</v>
      </c>
      <c r="E436" s="6">
        <v>1719</v>
      </c>
      <c r="F436" s="6">
        <v>284575.54973821988</v>
      </c>
      <c r="G436" s="6">
        <v>489185370</v>
      </c>
      <c r="H436" s="6">
        <v>53552459</v>
      </c>
      <c r="I436" s="6">
        <f t="shared" si="6"/>
        <v>31</v>
      </c>
      <c r="J436" t="str" cm="1">
        <f t="array" ref="J436">_xlfn.IFS(
AND(I436&gt;=89,I436&lt;=92),"D-90",
AND(I436&gt;=58,I436&lt;=62),"D-60",
AND(I436&gt;=28,I436&lt;=32),"D-30",
AND(I436=0),"당월",
TRUE,"그외")</f>
        <v>D-30</v>
      </c>
    </row>
    <row r="437" spans="1:10" ht="17.649999999999999" customHeight="1" x14ac:dyDescent="0.3">
      <c r="A437" s="4">
        <v>45689</v>
      </c>
      <c r="B437" s="5" t="s">
        <v>11</v>
      </c>
      <c r="C437" s="4">
        <v>45689</v>
      </c>
      <c r="D437" s="5" t="s">
        <v>9</v>
      </c>
      <c r="E437" s="6">
        <v>355</v>
      </c>
      <c r="F437" s="6">
        <v>269092.95774647879</v>
      </c>
      <c r="G437" s="6">
        <v>95528000</v>
      </c>
      <c r="H437" s="6">
        <v>11330000</v>
      </c>
      <c r="I437" s="6">
        <f t="shared" si="6"/>
        <v>0</v>
      </c>
      <c r="J437" t="str" cm="1">
        <f t="array" ref="J437">_xlfn.IFS(
AND(I437&gt;=89,I437&lt;=92),"D-90",
AND(I437&gt;=58,I437&lt;=62),"D-60",
AND(I437&gt;=28,I437&lt;=32),"D-30",
AND(I437=0),"당월",
TRUE,"그외")</f>
        <v>당월</v>
      </c>
    </row>
    <row r="438" spans="1:10" ht="17.649999999999999" customHeight="1" x14ac:dyDescent="0.3">
      <c r="A438" s="4">
        <v>45689</v>
      </c>
      <c r="B438" s="5" t="s">
        <v>11</v>
      </c>
      <c r="C438" s="4">
        <v>45689</v>
      </c>
      <c r="D438" s="5" t="s">
        <v>10</v>
      </c>
      <c r="E438" s="6">
        <v>978</v>
      </c>
      <c r="F438" s="6">
        <v>268325.34867075662</v>
      </c>
      <c r="G438" s="6">
        <v>262422191</v>
      </c>
      <c r="H438" s="6">
        <v>31329380</v>
      </c>
      <c r="I438" s="6">
        <f t="shared" si="6"/>
        <v>0</v>
      </c>
      <c r="J438" t="str" cm="1">
        <f t="array" ref="J438">_xlfn.IFS(
AND(I438&gt;=89,I438&lt;=92),"D-90",
AND(I438&gt;=58,I438&lt;=62),"D-60",
AND(I438&gt;=28,I438&lt;=32),"D-30",
AND(I438=0),"당월",
TRUE,"그외")</f>
        <v>당월</v>
      </c>
    </row>
    <row r="439" spans="1:10" ht="17.649999999999999" customHeight="1" x14ac:dyDescent="0.3">
      <c r="A439" s="4">
        <v>45689</v>
      </c>
      <c r="B439" s="5" t="s">
        <v>12</v>
      </c>
      <c r="C439" s="4">
        <v>45505</v>
      </c>
      <c r="D439" s="5" t="s">
        <v>10</v>
      </c>
      <c r="E439" s="6">
        <v>159</v>
      </c>
      <c r="F439" s="6">
        <v>228186.51572327051</v>
      </c>
      <c r="G439" s="6">
        <v>36281656</v>
      </c>
      <c r="H439" s="6">
        <v>6376312</v>
      </c>
      <c r="I439" s="6">
        <f t="shared" si="6"/>
        <v>184</v>
      </c>
      <c r="J439" t="str" cm="1">
        <f t="array" ref="J439">_xlfn.IFS(
AND(I439&gt;=89,I439&lt;=92),"D-90",
AND(I439&gt;=58,I439&lt;=62),"D-60",
AND(I439&gt;=28,I439&lt;=32),"D-30",
AND(I439=0),"당월",
TRUE,"그외")</f>
        <v>그외</v>
      </c>
    </row>
    <row r="440" spans="1:10" ht="17.649999999999999" customHeight="1" x14ac:dyDescent="0.3">
      <c r="A440" s="4">
        <v>45689</v>
      </c>
      <c r="B440" s="5" t="s">
        <v>12</v>
      </c>
      <c r="C440" s="4">
        <v>45536</v>
      </c>
      <c r="D440" s="5" t="s">
        <v>10</v>
      </c>
      <c r="E440" s="6">
        <v>93</v>
      </c>
      <c r="F440" s="6">
        <v>316439.13978494622</v>
      </c>
      <c r="G440" s="6">
        <v>29428840</v>
      </c>
      <c r="H440" s="6">
        <v>3342188</v>
      </c>
      <c r="I440" s="6">
        <f t="shared" si="6"/>
        <v>153</v>
      </c>
      <c r="J440" t="str" cm="1">
        <f t="array" ref="J440">_xlfn.IFS(
AND(I440&gt;=89,I440&lt;=92),"D-90",
AND(I440&gt;=58,I440&lt;=62),"D-60",
AND(I440&gt;=28,I440&lt;=32),"D-30",
AND(I440=0),"당월",
TRUE,"그외")</f>
        <v>그외</v>
      </c>
    </row>
    <row r="441" spans="1:10" ht="17.649999999999999" customHeight="1" x14ac:dyDescent="0.3">
      <c r="A441" s="4">
        <v>45689</v>
      </c>
      <c r="B441" s="5" t="s">
        <v>12</v>
      </c>
      <c r="C441" s="4">
        <v>45566</v>
      </c>
      <c r="D441" s="5" t="s">
        <v>10</v>
      </c>
      <c r="E441" s="6">
        <v>146</v>
      </c>
      <c r="F441" s="6">
        <v>295391.0684931507</v>
      </c>
      <c r="G441" s="6">
        <v>43127096</v>
      </c>
      <c r="H441" s="6">
        <v>3868947</v>
      </c>
      <c r="I441" s="6">
        <f t="shared" si="6"/>
        <v>123</v>
      </c>
      <c r="J441" t="str" cm="1">
        <f t="array" ref="J441">_xlfn.IFS(
AND(I441&gt;=89,I441&lt;=92),"D-90",
AND(I441&gt;=58,I441&lt;=62),"D-60",
AND(I441&gt;=28,I441&lt;=32),"D-30",
AND(I441=0),"당월",
TRUE,"그외")</f>
        <v>그외</v>
      </c>
    </row>
    <row r="442" spans="1:10" ht="17.649999999999999" customHeight="1" x14ac:dyDescent="0.3">
      <c r="A442" s="4">
        <v>45689</v>
      </c>
      <c r="B442" s="5" t="s">
        <v>12</v>
      </c>
      <c r="C442" s="4">
        <v>45597</v>
      </c>
      <c r="D442" s="5" t="s">
        <v>9</v>
      </c>
      <c r="E442" s="6">
        <v>526</v>
      </c>
      <c r="F442" s="6">
        <v>262510.26615969581</v>
      </c>
      <c r="G442" s="6">
        <v>138080400</v>
      </c>
      <c r="H442" s="6">
        <v>13360400</v>
      </c>
      <c r="I442" s="6">
        <f t="shared" si="6"/>
        <v>92</v>
      </c>
      <c r="J442" t="str" cm="1">
        <f t="array" ref="J442">_xlfn.IFS(
AND(I442&gt;=89,I442&lt;=92),"D-90",
AND(I442&gt;=58,I442&lt;=62),"D-60",
AND(I442&gt;=28,I442&lt;=32),"D-30",
AND(I442=0),"당월",
TRUE,"그외")</f>
        <v>D-90</v>
      </c>
    </row>
    <row r="443" spans="1:10" ht="17.649999999999999" customHeight="1" x14ac:dyDescent="0.3">
      <c r="A443" s="4">
        <v>45689</v>
      </c>
      <c r="B443" s="5" t="s">
        <v>12</v>
      </c>
      <c r="C443" s="4">
        <v>45597</v>
      </c>
      <c r="D443" s="5" t="s">
        <v>10</v>
      </c>
      <c r="E443" s="6">
        <v>166</v>
      </c>
      <c r="F443" s="6">
        <v>323082.85542168672</v>
      </c>
      <c r="G443" s="6">
        <v>53631754</v>
      </c>
      <c r="H443" s="6">
        <v>4463942</v>
      </c>
      <c r="I443" s="6">
        <f t="shared" si="6"/>
        <v>92</v>
      </c>
      <c r="J443" t="str" cm="1">
        <f t="array" ref="J443">_xlfn.IFS(
AND(I443&gt;=89,I443&lt;=92),"D-90",
AND(I443&gt;=58,I443&lt;=62),"D-60",
AND(I443&gt;=28,I443&lt;=32),"D-30",
AND(I443=0),"당월",
TRUE,"그외")</f>
        <v>D-90</v>
      </c>
    </row>
    <row r="444" spans="1:10" ht="17.649999999999999" customHeight="1" x14ac:dyDescent="0.3">
      <c r="A444" s="4">
        <v>45689</v>
      </c>
      <c r="B444" s="5" t="s">
        <v>12</v>
      </c>
      <c r="C444" s="4">
        <v>45627</v>
      </c>
      <c r="D444" s="5" t="s">
        <v>9</v>
      </c>
      <c r="E444" s="6">
        <v>1292</v>
      </c>
      <c r="F444" s="6">
        <v>271362.22910216718</v>
      </c>
      <c r="G444" s="6">
        <v>350600000</v>
      </c>
      <c r="H444" s="6">
        <v>39406000</v>
      </c>
      <c r="I444" s="6">
        <f t="shared" si="6"/>
        <v>62</v>
      </c>
      <c r="J444" t="str" cm="1">
        <f t="array" ref="J444">_xlfn.IFS(
AND(I444&gt;=89,I444&lt;=92),"D-90",
AND(I444&gt;=58,I444&lt;=62),"D-60",
AND(I444&gt;=28,I444&lt;=32),"D-30",
AND(I444=0),"당월",
TRUE,"그외")</f>
        <v>D-60</v>
      </c>
    </row>
    <row r="445" spans="1:10" ht="17.649999999999999" customHeight="1" x14ac:dyDescent="0.3">
      <c r="A445" s="4">
        <v>45689</v>
      </c>
      <c r="B445" s="5" t="s">
        <v>12</v>
      </c>
      <c r="C445" s="4">
        <v>45627</v>
      </c>
      <c r="D445" s="5" t="s">
        <v>10</v>
      </c>
      <c r="E445" s="6">
        <v>1004</v>
      </c>
      <c r="F445" s="6">
        <v>259433.50597609559</v>
      </c>
      <c r="G445" s="6">
        <v>260471240</v>
      </c>
      <c r="H445" s="6">
        <v>30470364</v>
      </c>
      <c r="I445" s="6">
        <f t="shared" si="6"/>
        <v>62</v>
      </c>
      <c r="J445" t="str" cm="1">
        <f t="array" ref="J445">_xlfn.IFS(
AND(I445&gt;=89,I445&lt;=92),"D-90",
AND(I445&gt;=58,I445&lt;=62),"D-60",
AND(I445&gt;=28,I445&lt;=32),"D-30",
AND(I445=0),"당월",
TRUE,"그외")</f>
        <v>D-60</v>
      </c>
    </row>
    <row r="446" spans="1:10" ht="17.649999999999999" customHeight="1" x14ac:dyDescent="0.3">
      <c r="A446" s="4">
        <v>45689</v>
      </c>
      <c r="B446" s="5" t="s">
        <v>12</v>
      </c>
      <c r="C446" s="4">
        <v>45658</v>
      </c>
      <c r="D446" s="5" t="s">
        <v>9</v>
      </c>
      <c r="E446" s="6">
        <v>1319</v>
      </c>
      <c r="F446" s="6">
        <v>230097.1190295679</v>
      </c>
      <c r="G446" s="6">
        <v>303498100</v>
      </c>
      <c r="H446" s="6">
        <v>31781100</v>
      </c>
      <c r="I446" s="6">
        <f t="shared" si="6"/>
        <v>31</v>
      </c>
      <c r="J446" t="str" cm="1">
        <f t="array" ref="J446">_xlfn.IFS(
AND(I446&gt;=89,I446&lt;=92),"D-90",
AND(I446&gt;=58,I446&lt;=62),"D-60",
AND(I446&gt;=28,I446&lt;=32),"D-30",
AND(I446=0),"당월",
TRUE,"그외")</f>
        <v>D-30</v>
      </c>
    </row>
    <row r="447" spans="1:10" ht="17.649999999999999" customHeight="1" x14ac:dyDescent="0.3">
      <c r="A447" s="4">
        <v>45689</v>
      </c>
      <c r="B447" s="5" t="s">
        <v>12</v>
      </c>
      <c r="C447" s="4">
        <v>45658</v>
      </c>
      <c r="D447" s="5" t="s">
        <v>10</v>
      </c>
      <c r="E447" s="6">
        <v>2409</v>
      </c>
      <c r="F447" s="6">
        <v>224303.6210045662</v>
      </c>
      <c r="G447" s="6">
        <v>540347423</v>
      </c>
      <c r="H447" s="6">
        <v>74832043</v>
      </c>
      <c r="I447" s="6">
        <f t="shared" si="6"/>
        <v>31</v>
      </c>
      <c r="J447" t="str" cm="1">
        <f t="array" ref="J447">_xlfn.IFS(
AND(I447&gt;=89,I447&lt;=92),"D-90",
AND(I447&gt;=58,I447&lt;=62),"D-60",
AND(I447&gt;=28,I447&lt;=32),"D-30",
AND(I447=0),"당월",
TRUE,"그외")</f>
        <v>D-30</v>
      </c>
    </row>
    <row r="448" spans="1:10" ht="17.649999999999999" customHeight="1" x14ac:dyDescent="0.3">
      <c r="A448" s="4">
        <v>45689</v>
      </c>
      <c r="B448" s="5" t="s">
        <v>12</v>
      </c>
      <c r="C448" s="4">
        <v>45689</v>
      </c>
      <c r="D448" s="5" t="s">
        <v>9</v>
      </c>
      <c r="E448" s="6">
        <v>898</v>
      </c>
      <c r="F448" s="6">
        <v>214770.15590200451</v>
      </c>
      <c r="G448" s="6">
        <v>192863600</v>
      </c>
      <c r="H448" s="6">
        <v>28801600</v>
      </c>
      <c r="I448" s="6">
        <f t="shared" si="6"/>
        <v>0</v>
      </c>
      <c r="J448" t="str" cm="1">
        <f t="array" ref="J448">_xlfn.IFS(
AND(I448&gt;=89,I448&lt;=92),"D-90",
AND(I448&gt;=58,I448&lt;=62),"D-60",
AND(I448&gt;=28,I448&lt;=32),"D-30",
AND(I448=0),"당월",
TRUE,"그외")</f>
        <v>당월</v>
      </c>
    </row>
    <row r="449" spans="1:10" ht="17.649999999999999" customHeight="1" x14ac:dyDescent="0.3">
      <c r="A449" s="4">
        <v>45689</v>
      </c>
      <c r="B449" s="5" t="s">
        <v>12</v>
      </c>
      <c r="C449" s="4">
        <v>45689</v>
      </c>
      <c r="D449" s="5" t="s">
        <v>10</v>
      </c>
      <c r="E449" s="6">
        <v>1056</v>
      </c>
      <c r="F449" s="6">
        <v>208461.48863636359</v>
      </c>
      <c r="G449" s="6">
        <v>220135332</v>
      </c>
      <c r="H449" s="6">
        <v>33989065</v>
      </c>
      <c r="I449" s="6">
        <f t="shared" si="6"/>
        <v>0</v>
      </c>
      <c r="J449" t="str" cm="1">
        <f t="array" ref="J449">_xlfn.IFS(
AND(I449&gt;=89,I449&lt;=92),"D-90",
AND(I449&gt;=58,I449&lt;=62),"D-60",
AND(I449&gt;=28,I449&lt;=32),"D-30",
AND(I449=0),"당월",
TRUE,"그외")</f>
        <v>당월</v>
      </c>
    </row>
    <row r="450" spans="1:10" ht="17.649999999999999" customHeight="1" x14ac:dyDescent="0.3">
      <c r="A450" s="4">
        <v>45689</v>
      </c>
      <c r="B450" s="5" t="s">
        <v>13</v>
      </c>
      <c r="C450" s="4">
        <v>45505</v>
      </c>
      <c r="D450" s="5" t="s">
        <v>10</v>
      </c>
      <c r="E450" s="6">
        <v>113</v>
      </c>
      <c r="F450" s="6">
        <v>199302.40707964599</v>
      </c>
      <c r="G450" s="6">
        <v>22521172</v>
      </c>
      <c r="H450" s="6">
        <v>4537804</v>
      </c>
      <c r="I450" s="6">
        <f t="shared" si="6"/>
        <v>184</v>
      </c>
      <c r="J450" t="str" cm="1">
        <f t="array" ref="J450">_xlfn.IFS(
AND(I450&gt;=89,I450&lt;=92),"D-90",
AND(I450&gt;=58,I450&lt;=62),"D-60",
AND(I450&gt;=28,I450&lt;=32),"D-30",
AND(I450=0),"당월",
TRUE,"그외")</f>
        <v>그외</v>
      </c>
    </row>
    <row r="451" spans="1:10" ht="17.649999999999999" customHeight="1" x14ac:dyDescent="0.3">
      <c r="A451" s="4">
        <v>45689</v>
      </c>
      <c r="B451" s="5" t="s">
        <v>13</v>
      </c>
      <c r="C451" s="4">
        <v>45536</v>
      </c>
      <c r="D451" s="5" t="s">
        <v>10</v>
      </c>
      <c r="E451" s="6">
        <v>47</v>
      </c>
      <c r="F451" s="6">
        <v>337500</v>
      </c>
      <c r="G451" s="6">
        <v>15862500</v>
      </c>
      <c r="H451" s="6">
        <v>1682600</v>
      </c>
      <c r="I451" s="6">
        <f t="shared" ref="I451:I514" si="7">A451-C451</f>
        <v>153</v>
      </c>
      <c r="J451" t="str" cm="1">
        <f t="array" ref="J451">_xlfn.IFS(
AND(I451&gt;=89,I451&lt;=92),"D-90",
AND(I451&gt;=58,I451&lt;=62),"D-60",
AND(I451&gt;=28,I451&lt;=32),"D-30",
AND(I451=0),"당월",
TRUE,"그외")</f>
        <v>그외</v>
      </c>
    </row>
    <row r="452" spans="1:10" ht="17.649999999999999" customHeight="1" x14ac:dyDescent="0.3">
      <c r="A452" s="4">
        <v>45689</v>
      </c>
      <c r="B452" s="5" t="s">
        <v>13</v>
      </c>
      <c r="C452" s="4">
        <v>45566</v>
      </c>
      <c r="D452" s="5" t="s">
        <v>10</v>
      </c>
      <c r="E452" s="6">
        <v>33</v>
      </c>
      <c r="F452" s="6">
        <v>320127.27272727271</v>
      </c>
      <c r="G452" s="6">
        <v>10564200</v>
      </c>
      <c r="H452" s="6">
        <v>838200</v>
      </c>
      <c r="I452" s="6">
        <f t="shared" si="7"/>
        <v>123</v>
      </c>
      <c r="J452" t="str" cm="1">
        <f t="array" ref="J452">_xlfn.IFS(
AND(I452&gt;=89,I452&lt;=92),"D-90",
AND(I452&gt;=58,I452&lt;=62),"D-60",
AND(I452&gt;=28,I452&lt;=32),"D-30",
AND(I452=0),"당월",
TRUE,"그외")</f>
        <v>그외</v>
      </c>
    </row>
    <row r="453" spans="1:10" ht="17.649999999999999" customHeight="1" x14ac:dyDescent="0.3">
      <c r="A453" s="4">
        <v>45689</v>
      </c>
      <c r="B453" s="5" t="s">
        <v>13</v>
      </c>
      <c r="C453" s="4">
        <v>45597</v>
      </c>
      <c r="D453" s="5" t="s">
        <v>9</v>
      </c>
      <c r="E453" s="6">
        <v>454</v>
      </c>
      <c r="F453" s="6">
        <v>219629.0748898678</v>
      </c>
      <c r="G453" s="6">
        <v>99711600</v>
      </c>
      <c r="H453" s="6">
        <v>11531600</v>
      </c>
      <c r="I453" s="6">
        <f t="shared" si="7"/>
        <v>92</v>
      </c>
      <c r="J453" t="str" cm="1">
        <f t="array" ref="J453">_xlfn.IFS(
AND(I453&gt;=89,I453&lt;=92),"D-90",
AND(I453&gt;=58,I453&lt;=62),"D-60",
AND(I453&gt;=28,I453&lt;=32),"D-30",
AND(I453=0),"당월",
TRUE,"그외")</f>
        <v>D-90</v>
      </c>
    </row>
    <row r="454" spans="1:10" ht="17.649999999999999" customHeight="1" x14ac:dyDescent="0.3">
      <c r="A454" s="4">
        <v>45689</v>
      </c>
      <c r="B454" s="5" t="s">
        <v>13</v>
      </c>
      <c r="C454" s="4">
        <v>45597</v>
      </c>
      <c r="D454" s="5" t="s">
        <v>10</v>
      </c>
      <c r="E454" s="6">
        <v>554</v>
      </c>
      <c r="F454" s="6">
        <v>266491.79061371839</v>
      </c>
      <c r="G454" s="6">
        <v>147636452</v>
      </c>
      <c r="H454" s="6">
        <v>14337716</v>
      </c>
      <c r="I454" s="6">
        <f t="shared" si="7"/>
        <v>92</v>
      </c>
      <c r="J454" t="str" cm="1">
        <f t="array" ref="J454">_xlfn.IFS(
AND(I454&gt;=89,I454&lt;=92),"D-90",
AND(I454&gt;=58,I454&lt;=62),"D-60",
AND(I454&gt;=28,I454&lt;=32),"D-30",
AND(I454=0),"당월",
TRUE,"그외")</f>
        <v>D-90</v>
      </c>
    </row>
    <row r="455" spans="1:10" ht="17.649999999999999" customHeight="1" x14ac:dyDescent="0.3">
      <c r="A455" s="4">
        <v>45689</v>
      </c>
      <c r="B455" s="5" t="s">
        <v>13</v>
      </c>
      <c r="C455" s="4">
        <v>45627</v>
      </c>
      <c r="D455" s="5" t="s">
        <v>9</v>
      </c>
      <c r="E455" s="6">
        <v>763</v>
      </c>
      <c r="F455" s="6">
        <v>227434.20707732631</v>
      </c>
      <c r="G455" s="6">
        <v>173532300</v>
      </c>
      <c r="H455" s="6">
        <v>23261300</v>
      </c>
      <c r="I455" s="6">
        <f t="shared" si="7"/>
        <v>62</v>
      </c>
      <c r="J455" t="str" cm="1">
        <f t="array" ref="J455">_xlfn.IFS(
AND(I455&gt;=89,I455&lt;=92),"D-90",
AND(I455&gt;=58,I455&lt;=62),"D-60",
AND(I455&gt;=28,I455&lt;=32),"D-30",
AND(I455=0),"당월",
TRUE,"그외")</f>
        <v>D-60</v>
      </c>
    </row>
    <row r="456" spans="1:10" ht="17.649999999999999" customHeight="1" x14ac:dyDescent="0.3">
      <c r="A456" s="4">
        <v>45689</v>
      </c>
      <c r="B456" s="5" t="s">
        <v>13</v>
      </c>
      <c r="C456" s="4">
        <v>45627</v>
      </c>
      <c r="D456" s="5" t="s">
        <v>10</v>
      </c>
      <c r="E456" s="6">
        <v>1002</v>
      </c>
      <c r="F456" s="6">
        <v>255105.99600798401</v>
      </c>
      <c r="G456" s="6">
        <v>255616208</v>
      </c>
      <c r="H456" s="6">
        <v>30073284</v>
      </c>
      <c r="I456" s="6">
        <f t="shared" si="7"/>
        <v>62</v>
      </c>
      <c r="J456" t="str" cm="1">
        <f t="array" ref="J456">_xlfn.IFS(
AND(I456&gt;=89,I456&lt;=92),"D-90",
AND(I456&gt;=58,I456&lt;=62),"D-60",
AND(I456&gt;=28,I456&lt;=32),"D-30",
AND(I456=0),"당월",
TRUE,"그외")</f>
        <v>D-60</v>
      </c>
    </row>
    <row r="457" spans="1:10" ht="17.649999999999999" customHeight="1" x14ac:dyDescent="0.3">
      <c r="A457" s="4">
        <v>45689</v>
      </c>
      <c r="B457" s="5" t="s">
        <v>13</v>
      </c>
      <c r="C457" s="4">
        <v>45658</v>
      </c>
      <c r="D457" s="5" t="s">
        <v>9</v>
      </c>
      <c r="E457" s="6">
        <v>978</v>
      </c>
      <c r="F457" s="6">
        <v>235571.5746421268</v>
      </c>
      <c r="G457" s="6">
        <v>230389000</v>
      </c>
      <c r="H457" s="6">
        <v>21110000</v>
      </c>
      <c r="I457" s="6">
        <f t="shared" si="7"/>
        <v>31</v>
      </c>
      <c r="J457" t="str" cm="1">
        <f t="array" ref="J457">_xlfn.IFS(
AND(I457&gt;=89,I457&lt;=92),"D-90",
AND(I457&gt;=58,I457&lt;=62),"D-60",
AND(I457&gt;=28,I457&lt;=32),"D-30",
AND(I457=0),"당월",
TRUE,"그외")</f>
        <v>D-30</v>
      </c>
    </row>
    <row r="458" spans="1:10" ht="17.649999999999999" customHeight="1" x14ac:dyDescent="0.3">
      <c r="A458" s="4">
        <v>45689</v>
      </c>
      <c r="B458" s="5" t="s">
        <v>13</v>
      </c>
      <c r="C458" s="4">
        <v>45658</v>
      </c>
      <c r="D458" s="5" t="s">
        <v>10</v>
      </c>
      <c r="E458" s="6">
        <v>2643</v>
      </c>
      <c r="F458" s="6">
        <v>216268.13129020049</v>
      </c>
      <c r="G458" s="6">
        <v>571596671</v>
      </c>
      <c r="H458" s="6">
        <v>81911456</v>
      </c>
      <c r="I458" s="6">
        <f t="shared" si="7"/>
        <v>31</v>
      </c>
      <c r="J458" t="str" cm="1">
        <f t="array" ref="J458">_xlfn.IFS(
AND(I458&gt;=89,I458&lt;=92),"D-90",
AND(I458&gt;=58,I458&lt;=62),"D-60",
AND(I458&gt;=28,I458&lt;=32),"D-30",
AND(I458=0),"당월",
TRUE,"그외")</f>
        <v>D-30</v>
      </c>
    </row>
    <row r="459" spans="1:10" ht="17.649999999999999" customHeight="1" x14ac:dyDescent="0.3">
      <c r="A459" s="4">
        <v>45689</v>
      </c>
      <c r="B459" s="5" t="s">
        <v>13</v>
      </c>
      <c r="C459" s="4">
        <v>45689</v>
      </c>
      <c r="D459" s="5" t="s">
        <v>9</v>
      </c>
      <c r="E459" s="6">
        <v>678</v>
      </c>
      <c r="F459" s="6">
        <v>220292.47787610619</v>
      </c>
      <c r="G459" s="6">
        <v>149358300</v>
      </c>
      <c r="H459" s="6">
        <v>21735300</v>
      </c>
      <c r="I459" s="6">
        <f t="shared" si="7"/>
        <v>0</v>
      </c>
      <c r="J459" t="str" cm="1">
        <f t="array" ref="J459">_xlfn.IFS(
AND(I459&gt;=89,I459&lt;=92),"D-90",
AND(I459&gt;=58,I459&lt;=62),"D-60",
AND(I459&gt;=28,I459&lt;=32),"D-30",
AND(I459=0),"당월",
TRUE,"그외")</f>
        <v>당월</v>
      </c>
    </row>
    <row r="460" spans="1:10" ht="17.649999999999999" customHeight="1" x14ac:dyDescent="0.3">
      <c r="A460" s="4">
        <v>45689</v>
      </c>
      <c r="B460" s="5" t="s">
        <v>13</v>
      </c>
      <c r="C460" s="4">
        <v>45689</v>
      </c>
      <c r="D460" s="5" t="s">
        <v>10</v>
      </c>
      <c r="E460" s="6">
        <v>1445</v>
      </c>
      <c r="F460" s="6">
        <v>204862.92525951561</v>
      </c>
      <c r="G460" s="6">
        <v>296026927</v>
      </c>
      <c r="H460" s="6">
        <v>46675569</v>
      </c>
      <c r="I460" s="6">
        <f t="shared" si="7"/>
        <v>0</v>
      </c>
      <c r="J460" t="str" cm="1">
        <f t="array" ref="J460">_xlfn.IFS(
AND(I460&gt;=89,I460&lt;=92),"D-90",
AND(I460&gt;=58,I460&lt;=62),"D-60",
AND(I460&gt;=28,I460&lt;=32),"D-30",
AND(I460=0),"당월",
TRUE,"그외")</f>
        <v>당월</v>
      </c>
    </row>
    <row r="461" spans="1:10" ht="17.649999999999999" customHeight="1" x14ac:dyDescent="0.3">
      <c r="A461" s="4">
        <v>45717</v>
      </c>
      <c r="B461" s="5" t="s">
        <v>8</v>
      </c>
      <c r="C461" s="4">
        <v>45536</v>
      </c>
      <c r="D461" s="5" t="s">
        <v>10</v>
      </c>
      <c r="E461" s="6">
        <v>114</v>
      </c>
      <c r="F461" s="6">
        <v>213847.4298245614</v>
      </c>
      <c r="G461" s="6">
        <v>24378607</v>
      </c>
      <c r="H461" s="6">
        <v>4183668</v>
      </c>
      <c r="I461" s="6">
        <f t="shared" si="7"/>
        <v>181</v>
      </c>
      <c r="J461" t="str" cm="1">
        <f t="array" ref="J461">_xlfn.IFS(
AND(I461&gt;=89,I461&lt;=92),"D-90",
AND(I461&gt;=58,I461&lt;=62),"D-60",
AND(I461&gt;=28,I461&lt;=32),"D-30",
AND(I461=0),"당월",
TRUE,"그외")</f>
        <v>그외</v>
      </c>
    </row>
    <row r="462" spans="1:10" ht="17.649999999999999" customHeight="1" x14ac:dyDescent="0.3">
      <c r="A462" s="4">
        <v>45717</v>
      </c>
      <c r="B462" s="5" t="s">
        <v>8</v>
      </c>
      <c r="C462" s="4">
        <v>45566</v>
      </c>
      <c r="D462" s="5" t="s">
        <v>10</v>
      </c>
      <c r="E462" s="6">
        <v>78</v>
      </c>
      <c r="F462" s="6">
        <v>203180</v>
      </c>
      <c r="G462" s="6">
        <v>15848040</v>
      </c>
      <c r="H462" s="6">
        <v>2123924</v>
      </c>
      <c r="I462" s="6">
        <f t="shared" si="7"/>
        <v>151</v>
      </c>
      <c r="J462" t="str" cm="1">
        <f t="array" ref="J462">_xlfn.IFS(
AND(I462&gt;=89,I462&lt;=92),"D-90",
AND(I462&gt;=58,I462&lt;=62),"D-60",
AND(I462&gt;=28,I462&lt;=32),"D-30",
AND(I462=0),"당월",
TRUE,"그외")</f>
        <v>그외</v>
      </c>
    </row>
    <row r="463" spans="1:10" ht="17.649999999999999" customHeight="1" x14ac:dyDescent="0.3">
      <c r="A463" s="4">
        <v>45717</v>
      </c>
      <c r="B463" s="5" t="s">
        <v>8</v>
      </c>
      <c r="C463" s="4">
        <v>45597</v>
      </c>
      <c r="D463" s="5" t="s">
        <v>9</v>
      </c>
      <c r="E463" s="6">
        <v>564</v>
      </c>
      <c r="F463" s="6">
        <v>134626.9503546099</v>
      </c>
      <c r="G463" s="6">
        <v>75929600</v>
      </c>
      <c r="H463" s="6">
        <v>14325600</v>
      </c>
      <c r="I463" s="6">
        <f t="shared" si="7"/>
        <v>120</v>
      </c>
      <c r="J463" t="str" cm="1">
        <f t="array" ref="J463">_xlfn.IFS(
AND(I463&gt;=89,I463&lt;=92),"D-90",
AND(I463&gt;=58,I463&lt;=62),"D-60",
AND(I463&gt;=28,I463&lt;=32),"D-30",
AND(I463=0),"당월",
TRUE,"그외")</f>
        <v>그외</v>
      </c>
    </row>
    <row r="464" spans="1:10" ht="17.649999999999999" customHeight="1" x14ac:dyDescent="0.3">
      <c r="A464" s="4">
        <v>45717</v>
      </c>
      <c r="B464" s="5" t="s">
        <v>8</v>
      </c>
      <c r="C464" s="4">
        <v>45597</v>
      </c>
      <c r="D464" s="5" t="s">
        <v>10</v>
      </c>
      <c r="E464" s="6">
        <v>342</v>
      </c>
      <c r="F464" s="6">
        <v>181570.9210526316</v>
      </c>
      <c r="G464" s="6">
        <v>62097255</v>
      </c>
      <c r="H464" s="6">
        <v>8999942</v>
      </c>
      <c r="I464" s="6">
        <f t="shared" si="7"/>
        <v>120</v>
      </c>
      <c r="J464" t="str" cm="1">
        <f t="array" ref="J464">_xlfn.IFS(
AND(I464&gt;=89,I464&lt;=92),"D-90",
AND(I464&gt;=58,I464&lt;=62),"D-60",
AND(I464&gt;=28,I464&lt;=32),"D-30",
AND(I464=0),"당월",
TRUE,"그외")</f>
        <v>그외</v>
      </c>
    </row>
    <row r="465" spans="1:10" ht="17.649999999999999" customHeight="1" x14ac:dyDescent="0.3">
      <c r="A465" s="4">
        <v>45717</v>
      </c>
      <c r="B465" s="5" t="s">
        <v>8</v>
      </c>
      <c r="C465" s="4">
        <v>45627</v>
      </c>
      <c r="D465" s="5" t="s">
        <v>9</v>
      </c>
      <c r="E465" s="6">
        <v>1016</v>
      </c>
      <c r="F465" s="6">
        <v>149779.13385826771</v>
      </c>
      <c r="G465" s="6">
        <v>152175600</v>
      </c>
      <c r="H465" s="6">
        <v>30967600</v>
      </c>
      <c r="I465" s="6">
        <f t="shared" si="7"/>
        <v>90</v>
      </c>
      <c r="J465" t="str" cm="1">
        <f t="array" ref="J465">_xlfn.IFS(
AND(I465&gt;=89,I465&lt;=92),"D-90",
AND(I465&gt;=58,I465&lt;=62),"D-60",
AND(I465&gt;=28,I465&lt;=32),"D-30",
AND(I465=0),"당월",
TRUE,"그외")</f>
        <v>D-90</v>
      </c>
    </row>
    <row r="466" spans="1:10" ht="17.649999999999999" customHeight="1" x14ac:dyDescent="0.3">
      <c r="A466" s="4">
        <v>45717</v>
      </c>
      <c r="B466" s="5" t="s">
        <v>8</v>
      </c>
      <c r="C466" s="4">
        <v>45627</v>
      </c>
      <c r="D466" s="5" t="s">
        <v>10</v>
      </c>
      <c r="E466" s="6">
        <v>523</v>
      </c>
      <c r="F466" s="6">
        <v>204448.24091778201</v>
      </c>
      <c r="G466" s="6">
        <v>106926430</v>
      </c>
      <c r="H466" s="6">
        <v>15966748</v>
      </c>
      <c r="I466" s="6">
        <f t="shared" si="7"/>
        <v>90</v>
      </c>
      <c r="J466" t="str" cm="1">
        <f t="array" ref="J466">_xlfn.IFS(
AND(I466&gt;=89,I466&lt;=92),"D-90",
AND(I466&gt;=58,I466&lt;=62),"D-60",
AND(I466&gt;=28,I466&lt;=32),"D-30",
AND(I466=0),"당월",
TRUE,"그외")</f>
        <v>D-90</v>
      </c>
    </row>
    <row r="467" spans="1:10" ht="17.649999999999999" customHeight="1" x14ac:dyDescent="0.3">
      <c r="A467" s="4">
        <v>45717</v>
      </c>
      <c r="B467" s="5" t="s">
        <v>8</v>
      </c>
      <c r="C467" s="4">
        <v>45658</v>
      </c>
      <c r="D467" s="5" t="s">
        <v>9</v>
      </c>
      <c r="E467" s="6">
        <v>603</v>
      </c>
      <c r="F467" s="6">
        <v>216477.28026534</v>
      </c>
      <c r="G467" s="6">
        <v>130535800</v>
      </c>
      <c r="H467" s="6">
        <v>18557800</v>
      </c>
      <c r="I467" s="6">
        <f t="shared" si="7"/>
        <v>59</v>
      </c>
      <c r="J467" t="str" cm="1">
        <f t="array" ref="J467">_xlfn.IFS(
AND(I467&gt;=89,I467&lt;=92),"D-90",
AND(I467&gt;=58,I467&lt;=62),"D-60",
AND(I467&gt;=28,I467&lt;=32),"D-30",
AND(I467=0),"당월",
TRUE,"그외")</f>
        <v>D-60</v>
      </c>
    </row>
    <row r="468" spans="1:10" ht="17.649999999999999" customHeight="1" x14ac:dyDescent="0.3">
      <c r="A468" s="4">
        <v>45717</v>
      </c>
      <c r="B468" s="5" t="s">
        <v>8</v>
      </c>
      <c r="C468" s="4">
        <v>45658</v>
      </c>
      <c r="D468" s="5" t="s">
        <v>10</v>
      </c>
      <c r="E468" s="6">
        <v>937</v>
      </c>
      <c r="F468" s="6">
        <v>175776.58697972249</v>
      </c>
      <c r="G468" s="6">
        <v>164702662</v>
      </c>
      <c r="H468" s="6">
        <v>29108104</v>
      </c>
      <c r="I468" s="6">
        <f t="shared" si="7"/>
        <v>59</v>
      </c>
      <c r="J468" t="str" cm="1">
        <f t="array" ref="J468">_xlfn.IFS(
AND(I468&gt;=89,I468&lt;=92),"D-90",
AND(I468&gt;=58,I468&lt;=62),"D-60",
AND(I468&gt;=28,I468&lt;=32),"D-30",
AND(I468=0),"당월",
TRUE,"그외")</f>
        <v>D-60</v>
      </c>
    </row>
    <row r="469" spans="1:10" ht="17.649999999999999" customHeight="1" x14ac:dyDescent="0.3">
      <c r="A469" s="4">
        <v>45717</v>
      </c>
      <c r="B469" s="5" t="s">
        <v>8</v>
      </c>
      <c r="C469" s="4">
        <v>45689</v>
      </c>
      <c r="D469" s="5" t="s">
        <v>9</v>
      </c>
      <c r="E469" s="6">
        <v>2930</v>
      </c>
      <c r="F469" s="6">
        <v>141603.72013651879</v>
      </c>
      <c r="G469" s="6">
        <v>414898900</v>
      </c>
      <c r="H469" s="6">
        <v>94017900</v>
      </c>
      <c r="I469" s="6">
        <f t="shared" si="7"/>
        <v>28</v>
      </c>
      <c r="J469" t="str" cm="1">
        <f t="array" ref="J469">_xlfn.IFS(
AND(I469&gt;=89,I469&lt;=92),"D-90",
AND(I469&gt;=58,I469&lt;=62),"D-60",
AND(I469&gt;=28,I469&lt;=32),"D-30",
AND(I469=0),"당월",
TRUE,"그외")</f>
        <v>D-30</v>
      </c>
    </row>
    <row r="470" spans="1:10" ht="17.649999999999999" customHeight="1" x14ac:dyDescent="0.3">
      <c r="A470" s="4">
        <v>45717</v>
      </c>
      <c r="B470" s="5" t="s">
        <v>8</v>
      </c>
      <c r="C470" s="4">
        <v>45689</v>
      </c>
      <c r="D470" s="5" t="s">
        <v>10</v>
      </c>
      <c r="E470" s="6">
        <v>2199</v>
      </c>
      <c r="F470" s="6">
        <v>174442.82401091399</v>
      </c>
      <c r="G470" s="6">
        <v>383599770</v>
      </c>
      <c r="H470" s="6">
        <v>70228454</v>
      </c>
      <c r="I470" s="6">
        <f t="shared" si="7"/>
        <v>28</v>
      </c>
      <c r="J470" t="str" cm="1">
        <f t="array" ref="J470">_xlfn.IFS(
AND(I470&gt;=89,I470&lt;=92),"D-90",
AND(I470&gt;=58,I470&lt;=62),"D-60",
AND(I470&gt;=28,I470&lt;=32),"D-30",
AND(I470=0),"당월",
TRUE,"그외")</f>
        <v>D-30</v>
      </c>
    </row>
    <row r="471" spans="1:10" ht="17.649999999999999" customHeight="1" x14ac:dyDescent="0.3">
      <c r="A471" s="4">
        <v>45717</v>
      </c>
      <c r="B471" s="5" t="s">
        <v>8</v>
      </c>
      <c r="C471" s="4">
        <v>45717</v>
      </c>
      <c r="D471" s="5" t="s">
        <v>9</v>
      </c>
      <c r="E471" s="6">
        <v>288</v>
      </c>
      <c r="F471" s="6">
        <v>126240.625</v>
      </c>
      <c r="G471" s="6">
        <v>36357300</v>
      </c>
      <c r="H471" s="6">
        <v>10665300</v>
      </c>
      <c r="I471" s="6">
        <f t="shared" si="7"/>
        <v>0</v>
      </c>
      <c r="J471" t="str" cm="1">
        <f t="array" ref="J471">_xlfn.IFS(
AND(I471&gt;=89,I471&lt;=92),"D-90",
AND(I471&gt;=58,I471&lt;=62),"D-60",
AND(I471&gt;=28,I471&lt;=32),"D-30",
AND(I471=0),"당월",
TRUE,"그외")</f>
        <v>당월</v>
      </c>
    </row>
    <row r="472" spans="1:10" ht="17.649999999999999" customHeight="1" x14ac:dyDescent="0.3">
      <c r="A472" s="4">
        <v>45717</v>
      </c>
      <c r="B472" s="5" t="s">
        <v>8</v>
      </c>
      <c r="C472" s="4">
        <v>45717</v>
      </c>
      <c r="D472" s="5" t="s">
        <v>10</v>
      </c>
      <c r="E472" s="6">
        <v>774</v>
      </c>
      <c r="F472" s="6">
        <v>134501.97674418599</v>
      </c>
      <c r="G472" s="6">
        <v>104104530</v>
      </c>
      <c r="H472" s="6">
        <v>25845034</v>
      </c>
      <c r="I472" s="6">
        <f t="shared" si="7"/>
        <v>0</v>
      </c>
      <c r="J472" t="str" cm="1">
        <f t="array" ref="J472">_xlfn.IFS(
AND(I472&gt;=89,I472&lt;=92),"D-90",
AND(I472&gt;=58,I472&lt;=62),"D-60",
AND(I472&gt;=28,I472&lt;=32),"D-30",
AND(I472=0),"당월",
TRUE,"그외")</f>
        <v>당월</v>
      </c>
    </row>
    <row r="473" spans="1:10" ht="17.649999999999999" customHeight="1" x14ac:dyDescent="0.3">
      <c r="A473" s="4">
        <v>45717</v>
      </c>
      <c r="B473" s="5" t="s">
        <v>8</v>
      </c>
      <c r="C473" s="4">
        <v>45748</v>
      </c>
      <c r="D473" s="5" t="s">
        <v>10</v>
      </c>
      <c r="E473" s="6">
        <v>2</v>
      </c>
      <c r="F473" s="6">
        <v>205310</v>
      </c>
      <c r="G473" s="6">
        <v>410620</v>
      </c>
      <c r="H473" s="6">
        <v>0</v>
      </c>
      <c r="I473" s="6">
        <f t="shared" si="7"/>
        <v>-31</v>
      </c>
      <c r="J473" t="str" cm="1">
        <f t="array" ref="J473">_xlfn.IFS(
AND(I473&gt;=89,I473&lt;=92),"D-90",
AND(I473&gt;=58,I473&lt;=62),"D-60",
AND(I473&gt;=28,I473&lt;=32),"D-30",
AND(I473=0),"당월",
TRUE,"그외")</f>
        <v>그외</v>
      </c>
    </row>
    <row r="474" spans="1:10" ht="17.649999999999999" customHeight="1" x14ac:dyDescent="0.3">
      <c r="A474" s="4">
        <v>45717</v>
      </c>
      <c r="B474" s="5" t="s">
        <v>11</v>
      </c>
      <c r="C474" s="4">
        <v>45505</v>
      </c>
      <c r="D474" s="5" t="s">
        <v>10</v>
      </c>
      <c r="E474" s="6">
        <v>158</v>
      </c>
      <c r="F474" s="6">
        <v>190432.91139240511</v>
      </c>
      <c r="G474" s="6">
        <v>30088400</v>
      </c>
      <c r="H474" s="6">
        <v>6335800</v>
      </c>
      <c r="I474" s="6">
        <f t="shared" si="7"/>
        <v>212</v>
      </c>
      <c r="J474" t="str" cm="1">
        <f t="array" ref="J474">_xlfn.IFS(
AND(I474&gt;=89,I474&lt;=92),"D-90",
AND(I474&gt;=58,I474&lt;=62),"D-60",
AND(I474&gt;=28,I474&lt;=32),"D-30",
AND(I474=0),"당월",
TRUE,"그외")</f>
        <v>그외</v>
      </c>
    </row>
    <row r="475" spans="1:10" ht="17.649999999999999" customHeight="1" x14ac:dyDescent="0.3">
      <c r="A475" s="4">
        <v>45717</v>
      </c>
      <c r="B475" s="5" t="s">
        <v>11</v>
      </c>
      <c r="C475" s="4">
        <v>45536</v>
      </c>
      <c r="D475" s="5" t="s">
        <v>9</v>
      </c>
      <c r="E475" s="6">
        <v>8</v>
      </c>
      <c r="F475" s="6">
        <v>170800</v>
      </c>
      <c r="G475" s="6">
        <v>1366400</v>
      </c>
      <c r="H475" s="6">
        <v>286400</v>
      </c>
      <c r="I475" s="6">
        <f t="shared" si="7"/>
        <v>181</v>
      </c>
      <c r="J475" t="str" cm="1">
        <f t="array" ref="J475">_xlfn.IFS(
AND(I475&gt;=89,I475&lt;=92),"D-90",
AND(I475&gt;=58,I475&lt;=62),"D-60",
AND(I475&gt;=28,I475&lt;=32),"D-30",
AND(I475=0),"당월",
TRUE,"그외")</f>
        <v>그외</v>
      </c>
    </row>
    <row r="476" spans="1:10" ht="17.649999999999999" customHeight="1" x14ac:dyDescent="0.3">
      <c r="A476" s="4">
        <v>45717</v>
      </c>
      <c r="B476" s="5" t="s">
        <v>11</v>
      </c>
      <c r="C476" s="4">
        <v>45536</v>
      </c>
      <c r="D476" s="5" t="s">
        <v>10</v>
      </c>
      <c r="E476" s="6">
        <v>75</v>
      </c>
      <c r="F476" s="6">
        <v>230060</v>
      </c>
      <c r="G476" s="6">
        <v>17254500</v>
      </c>
      <c r="H476" s="6">
        <v>2685000</v>
      </c>
      <c r="I476" s="6">
        <f t="shared" si="7"/>
        <v>181</v>
      </c>
      <c r="J476" t="str" cm="1">
        <f t="array" ref="J476">_xlfn.IFS(
AND(I476&gt;=89,I476&lt;=92),"D-90",
AND(I476&gt;=58,I476&lt;=62),"D-60",
AND(I476&gt;=28,I476&lt;=32),"D-30",
AND(I476=0),"당월",
TRUE,"그외")</f>
        <v>그외</v>
      </c>
    </row>
    <row r="477" spans="1:10" ht="17.649999999999999" customHeight="1" x14ac:dyDescent="0.3">
      <c r="A477" s="4">
        <v>45717</v>
      </c>
      <c r="B477" s="5" t="s">
        <v>11</v>
      </c>
      <c r="C477" s="4">
        <v>45566</v>
      </c>
      <c r="D477" s="5" t="s">
        <v>9</v>
      </c>
      <c r="E477" s="6">
        <v>22</v>
      </c>
      <c r="F477" s="6">
        <v>157218.18181818179</v>
      </c>
      <c r="G477" s="6">
        <v>3458800</v>
      </c>
      <c r="H477" s="6">
        <v>558800</v>
      </c>
      <c r="I477" s="6">
        <f t="shared" si="7"/>
        <v>151</v>
      </c>
      <c r="J477" t="str" cm="1">
        <f t="array" ref="J477">_xlfn.IFS(
AND(I477&gt;=89,I477&lt;=92),"D-90",
AND(I477&gt;=58,I477&lt;=62),"D-60",
AND(I477&gt;=28,I477&lt;=32),"D-30",
AND(I477=0),"당월",
TRUE,"그외")</f>
        <v>그외</v>
      </c>
    </row>
    <row r="478" spans="1:10" ht="17.649999999999999" customHeight="1" x14ac:dyDescent="0.3">
      <c r="A478" s="4">
        <v>45717</v>
      </c>
      <c r="B478" s="5" t="s">
        <v>11</v>
      </c>
      <c r="C478" s="4">
        <v>45566</v>
      </c>
      <c r="D478" s="5" t="s">
        <v>10</v>
      </c>
      <c r="E478" s="6">
        <v>288</v>
      </c>
      <c r="F478" s="6">
        <v>186450.69444444441</v>
      </c>
      <c r="G478" s="6">
        <v>53697800</v>
      </c>
      <c r="H478" s="6">
        <v>7315200</v>
      </c>
      <c r="I478" s="6">
        <f t="shared" si="7"/>
        <v>151</v>
      </c>
      <c r="J478" t="str" cm="1">
        <f t="array" ref="J478">_xlfn.IFS(
AND(I478&gt;=89,I478&lt;=92),"D-90",
AND(I478&gt;=58,I478&lt;=62),"D-60",
AND(I478&gt;=28,I478&lt;=32),"D-30",
AND(I478=0),"당월",
TRUE,"그외")</f>
        <v>그외</v>
      </c>
    </row>
    <row r="479" spans="1:10" ht="17.649999999999999" customHeight="1" x14ac:dyDescent="0.3">
      <c r="A479" s="4">
        <v>45717</v>
      </c>
      <c r="B479" s="5" t="s">
        <v>11</v>
      </c>
      <c r="C479" s="4">
        <v>45597</v>
      </c>
      <c r="D479" s="5" t="s">
        <v>9</v>
      </c>
      <c r="E479" s="6">
        <v>420</v>
      </c>
      <c r="F479" s="6">
        <v>178302.38095238089</v>
      </c>
      <c r="G479" s="6">
        <v>74887000</v>
      </c>
      <c r="H479" s="6">
        <v>10668000</v>
      </c>
      <c r="I479" s="6">
        <f t="shared" si="7"/>
        <v>120</v>
      </c>
      <c r="J479" t="str" cm="1">
        <f t="array" ref="J479">_xlfn.IFS(
AND(I479&gt;=89,I479&lt;=92),"D-90",
AND(I479&gt;=58,I479&lt;=62),"D-60",
AND(I479&gt;=28,I479&lt;=32),"D-30",
AND(I479=0),"당월",
TRUE,"그외")</f>
        <v>그외</v>
      </c>
    </row>
    <row r="480" spans="1:10" ht="17.649999999999999" customHeight="1" x14ac:dyDescent="0.3">
      <c r="A480" s="4">
        <v>45717</v>
      </c>
      <c r="B480" s="5" t="s">
        <v>11</v>
      </c>
      <c r="C480" s="4">
        <v>45597</v>
      </c>
      <c r="D480" s="5" t="s">
        <v>10</v>
      </c>
      <c r="E480" s="6">
        <v>377</v>
      </c>
      <c r="F480" s="6">
        <v>213642.17506631301</v>
      </c>
      <c r="G480" s="6">
        <v>80543100</v>
      </c>
      <c r="H480" s="6">
        <v>9596600</v>
      </c>
      <c r="I480" s="6">
        <f t="shared" si="7"/>
        <v>120</v>
      </c>
      <c r="J480" t="str" cm="1">
        <f t="array" ref="J480">_xlfn.IFS(
AND(I480&gt;=89,I480&lt;=92),"D-90",
AND(I480&gt;=58,I480&lt;=62),"D-60",
AND(I480&gt;=28,I480&lt;=32),"D-30",
AND(I480=0),"당월",
TRUE,"그외")</f>
        <v>그외</v>
      </c>
    </row>
    <row r="481" spans="1:10" ht="17.649999999999999" customHeight="1" x14ac:dyDescent="0.3">
      <c r="A481" s="4">
        <v>45717</v>
      </c>
      <c r="B481" s="5" t="s">
        <v>11</v>
      </c>
      <c r="C481" s="4">
        <v>45627</v>
      </c>
      <c r="D481" s="5" t="s">
        <v>9</v>
      </c>
      <c r="E481" s="6">
        <v>462</v>
      </c>
      <c r="F481" s="6">
        <v>205429.87012987011</v>
      </c>
      <c r="G481" s="6">
        <v>94908600</v>
      </c>
      <c r="H481" s="6">
        <v>14070600</v>
      </c>
      <c r="I481" s="6">
        <f t="shared" si="7"/>
        <v>90</v>
      </c>
      <c r="J481" t="str" cm="1">
        <f t="array" ref="J481">_xlfn.IFS(
AND(I481&gt;=89,I481&lt;=92),"D-90",
AND(I481&gt;=58,I481&lt;=62),"D-60",
AND(I481&gt;=28,I481&lt;=32),"D-30",
AND(I481=0),"당월",
TRUE,"그외")</f>
        <v>D-90</v>
      </c>
    </row>
    <row r="482" spans="1:10" ht="17.649999999999999" customHeight="1" x14ac:dyDescent="0.3">
      <c r="A482" s="4">
        <v>45717</v>
      </c>
      <c r="B482" s="5" t="s">
        <v>11</v>
      </c>
      <c r="C482" s="4">
        <v>45627</v>
      </c>
      <c r="D482" s="5" t="s">
        <v>10</v>
      </c>
      <c r="E482" s="6">
        <v>378</v>
      </c>
      <c r="F482" s="6">
        <v>274997.08994709002</v>
      </c>
      <c r="G482" s="6">
        <v>103948900</v>
      </c>
      <c r="H482" s="6">
        <v>11529000</v>
      </c>
      <c r="I482" s="6">
        <f t="shared" si="7"/>
        <v>90</v>
      </c>
      <c r="J482" t="str" cm="1">
        <f t="array" ref="J482">_xlfn.IFS(
AND(I482&gt;=89,I482&lt;=92),"D-90",
AND(I482&gt;=58,I482&lt;=62),"D-60",
AND(I482&gt;=28,I482&lt;=32),"D-30",
AND(I482=0),"당월",
TRUE,"그외")</f>
        <v>D-90</v>
      </c>
    </row>
    <row r="483" spans="1:10" ht="17.649999999999999" customHeight="1" x14ac:dyDescent="0.3">
      <c r="A483" s="4">
        <v>45717</v>
      </c>
      <c r="B483" s="5" t="s">
        <v>11</v>
      </c>
      <c r="C483" s="4">
        <v>45658</v>
      </c>
      <c r="D483" s="5" t="s">
        <v>9</v>
      </c>
      <c r="E483" s="6">
        <v>561</v>
      </c>
      <c r="F483" s="6">
        <v>197613.19073083781</v>
      </c>
      <c r="G483" s="6">
        <v>110861000</v>
      </c>
      <c r="H483" s="6">
        <v>17390000</v>
      </c>
      <c r="I483" s="6">
        <f t="shared" si="7"/>
        <v>59</v>
      </c>
      <c r="J483" t="str" cm="1">
        <f t="array" ref="J483">_xlfn.IFS(
AND(I483&gt;=89,I483&lt;=92),"D-90",
AND(I483&gt;=58,I483&lt;=62),"D-60",
AND(I483&gt;=28,I483&lt;=32),"D-30",
AND(I483=0),"당월",
TRUE,"그외")</f>
        <v>D-60</v>
      </c>
    </row>
    <row r="484" spans="1:10" ht="17.649999999999999" customHeight="1" x14ac:dyDescent="0.3">
      <c r="A484" s="4">
        <v>45717</v>
      </c>
      <c r="B484" s="5" t="s">
        <v>11</v>
      </c>
      <c r="C484" s="4">
        <v>45658</v>
      </c>
      <c r="D484" s="5" t="s">
        <v>10</v>
      </c>
      <c r="E484" s="6">
        <v>745</v>
      </c>
      <c r="F484" s="6">
        <v>234993.40536912749</v>
      </c>
      <c r="G484" s="6">
        <v>175070087</v>
      </c>
      <c r="H484" s="6">
        <v>23134267</v>
      </c>
      <c r="I484" s="6">
        <f t="shared" si="7"/>
        <v>59</v>
      </c>
      <c r="J484" t="str" cm="1">
        <f t="array" ref="J484">_xlfn.IFS(
AND(I484&gt;=89,I484&lt;=92),"D-90",
AND(I484&gt;=58,I484&lt;=62),"D-60",
AND(I484&gt;=28,I484&lt;=32),"D-30",
AND(I484=0),"당월",
TRUE,"그외")</f>
        <v>D-60</v>
      </c>
    </row>
    <row r="485" spans="1:10" ht="17.649999999999999" customHeight="1" x14ac:dyDescent="0.3">
      <c r="A485" s="4">
        <v>45717</v>
      </c>
      <c r="B485" s="5" t="s">
        <v>11</v>
      </c>
      <c r="C485" s="4">
        <v>45689</v>
      </c>
      <c r="D485" s="5" t="s">
        <v>9</v>
      </c>
      <c r="E485" s="6">
        <v>1938</v>
      </c>
      <c r="F485" s="6">
        <v>189375.4901960784</v>
      </c>
      <c r="G485" s="6">
        <v>367009700</v>
      </c>
      <c r="H485" s="6">
        <v>62163700</v>
      </c>
      <c r="I485" s="6">
        <f t="shared" si="7"/>
        <v>28</v>
      </c>
      <c r="J485" t="str" cm="1">
        <f t="array" ref="J485">_xlfn.IFS(
AND(I485&gt;=89,I485&lt;=92),"D-90",
AND(I485&gt;=58,I485&lt;=62),"D-60",
AND(I485&gt;=28,I485&lt;=32),"D-30",
AND(I485=0),"당월",
TRUE,"그외")</f>
        <v>D-30</v>
      </c>
    </row>
    <row r="486" spans="1:10" ht="17.649999999999999" customHeight="1" x14ac:dyDescent="0.3">
      <c r="A486" s="4">
        <v>45717</v>
      </c>
      <c r="B486" s="5" t="s">
        <v>11</v>
      </c>
      <c r="C486" s="4">
        <v>45689</v>
      </c>
      <c r="D486" s="5" t="s">
        <v>10</v>
      </c>
      <c r="E486" s="6">
        <v>2165</v>
      </c>
      <c r="F486" s="6">
        <v>187788.53672055429</v>
      </c>
      <c r="G486" s="6">
        <v>406562182</v>
      </c>
      <c r="H486" s="6">
        <v>69758867</v>
      </c>
      <c r="I486" s="6">
        <f t="shared" si="7"/>
        <v>28</v>
      </c>
      <c r="J486" t="str" cm="1">
        <f t="array" ref="J486">_xlfn.IFS(
AND(I486&gt;=89,I486&lt;=92),"D-90",
AND(I486&gt;=58,I486&lt;=62),"D-60",
AND(I486&gt;=28,I486&lt;=32),"D-30",
AND(I486=0),"당월",
TRUE,"그외")</f>
        <v>D-30</v>
      </c>
    </row>
    <row r="487" spans="1:10" ht="17.649999999999999" customHeight="1" x14ac:dyDescent="0.3">
      <c r="A487" s="4">
        <v>45717</v>
      </c>
      <c r="B487" s="5" t="s">
        <v>11</v>
      </c>
      <c r="C487" s="4">
        <v>45717</v>
      </c>
      <c r="D487" s="5" t="s">
        <v>9</v>
      </c>
      <c r="E487" s="6">
        <v>509</v>
      </c>
      <c r="F487" s="6">
        <v>167486.6404715128</v>
      </c>
      <c r="G487" s="6">
        <v>85250700</v>
      </c>
      <c r="H487" s="6">
        <v>18262700</v>
      </c>
      <c r="I487" s="6">
        <f t="shared" si="7"/>
        <v>0</v>
      </c>
      <c r="J487" t="str" cm="1">
        <f t="array" ref="J487">_xlfn.IFS(
AND(I487&gt;=89,I487&lt;=92),"D-90",
AND(I487&gt;=58,I487&lt;=62),"D-60",
AND(I487&gt;=28,I487&lt;=32),"D-30",
AND(I487=0),"당월",
TRUE,"그외")</f>
        <v>당월</v>
      </c>
    </row>
    <row r="488" spans="1:10" ht="17.649999999999999" customHeight="1" x14ac:dyDescent="0.3">
      <c r="A488" s="4">
        <v>45717</v>
      </c>
      <c r="B488" s="5" t="s">
        <v>11</v>
      </c>
      <c r="C488" s="4">
        <v>45717</v>
      </c>
      <c r="D488" s="5" t="s">
        <v>10</v>
      </c>
      <c r="E488" s="6">
        <v>1343</v>
      </c>
      <c r="F488" s="6">
        <v>164621.11094564409</v>
      </c>
      <c r="G488" s="6">
        <v>221086152</v>
      </c>
      <c r="H488" s="6">
        <v>48199782</v>
      </c>
      <c r="I488" s="6">
        <f t="shared" si="7"/>
        <v>0</v>
      </c>
      <c r="J488" t="str" cm="1">
        <f t="array" ref="J488">_xlfn.IFS(
AND(I488&gt;=89,I488&lt;=92),"D-90",
AND(I488&gt;=58,I488&lt;=62),"D-60",
AND(I488&gt;=28,I488&lt;=32),"D-30",
AND(I488=0),"당월",
TRUE,"그외")</f>
        <v>당월</v>
      </c>
    </row>
    <row r="489" spans="1:10" ht="17.649999999999999" customHeight="1" x14ac:dyDescent="0.3">
      <c r="A489" s="4">
        <v>45717</v>
      </c>
      <c r="B489" s="5" t="s">
        <v>12</v>
      </c>
      <c r="C489" s="4">
        <v>45505</v>
      </c>
      <c r="D489" s="5" t="s">
        <v>10</v>
      </c>
      <c r="E489" s="6">
        <v>103</v>
      </c>
      <c r="F489" s="6">
        <v>206049.51456310679</v>
      </c>
      <c r="G489" s="6">
        <v>21223100</v>
      </c>
      <c r="H489" s="6">
        <v>4130300</v>
      </c>
      <c r="I489" s="6">
        <f t="shared" si="7"/>
        <v>212</v>
      </c>
      <c r="J489" t="str" cm="1">
        <f t="array" ref="J489">_xlfn.IFS(
AND(I489&gt;=89,I489&lt;=92),"D-90",
AND(I489&gt;=58,I489&lt;=62),"D-60",
AND(I489&gt;=28,I489&lt;=32),"D-30",
AND(I489=0),"당월",
TRUE,"그외")</f>
        <v>그외</v>
      </c>
    </row>
    <row r="490" spans="1:10" ht="17.649999999999999" customHeight="1" x14ac:dyDescent="0.3">
      <c r="A490" s="4">
        <v>45717</v>
      </c>
      <c r="B490" s="5" t="s">
        <v>12</v>
      </c>
      <c r="C490" s="4">
        <v>45536</v>
      </c>
      <c r="D490" s="5" t="s">
        <v>10</v>
      </c>
      <c r="E490" s="6">
        <v>33</v>
      </c>
      <c r="F490" s="6">
        <v>263263.63636363641</v>
      </c>
      <c r="G490" s="6">
        <v>8687700</v>
      </c>
      <c r="H490" s="6">
        <v>1185700</v>
      </c>
      <c r="I490" s="6">
        <f t="shared" si="7"/>
        <v>181</v>
      </c>
      <c r="J490" t="str" cm="1">
        <f t="array" ref="J490">_xlfn.IFS(
AND(I490&gt;=89,I490&lt;=92),"D-90",
AND(I490&gt;=58,I490&lt;=62),"D-60",
AND(I490&gt;=28,I490&lt;=32),"D-30",
AND(I490=0),"당월",
TRUE,"그외")</f>
        <v>그외</v>
      </c>
    </row>
    <row r="491" spans="1:10" ht="17.649999999999999" customHeight="1" x14ac:dyDescent="0.3">
      <c r="A491" s="4">
        <v>45717</v>
      </c>
      <c r="B491" s="5" t="s">
        <v>12</v>
      </c>
      <c r="C491" s="4">
        <v>45566</v>
      </c>
      <c r="D491" s="5" t="s">
        <v>10</v>
      </c>
      <c r="E491" s="6">
        <v>11</v>
      </c>
      <c r="F491" s="6">
        <v>226114.18181818179</v>
      </c>
      <c r="G491" s="6">
        <v>2487256</v>
      </c>
      <c r="H491" s="6">
        <v>322162</v>
      </c>
      <c r="I491" s="6">
        <f t="shared" si="7"/>
        <v>151</v>
      </c>
      <c r="J491" t="str" cm="1">
        <f t="array" ref="J491">_xlfn.IFS(
AND(I491&gt;=89,I491&lt;=92),"D-90",
AND(I491&gt;=58,I491&lt;=62),"D-60",
AND(I491&gt;=28,I491&lt;=32),"D-30",
AND(I491=0),"당월",
TRUE,"그외")</f>
        <v>그외</v>
      </c>
    </row>
    <row r="492" spans="1:10" ht="17.649999999999999" customHeight="1" x14ac:dyDescent="0.3">
      <c r="A492" s="4">
        <v>45717</v>
      </c>
      <c r="B492" s="5" t="s">
        <v>12</v>
      </c>
      <c r="C492" s="4">
        <v>45597</v>
      </c>
      <c r="D492" s="5" t="s">
        <v>9</v>
      </c>
      <c r="E492" s="6">
        <v>131</v>
      </c>
      <c r="F492" s="6">
        <v>207438.16793893129</v>
      </c>
      <c r="G492" s="6">
        <v>27174400</v>
      </c>
      <c r="H492" s="6">
        <v>3327400</v>
      </c>
      <c r="I492" s="6">
        <f t="shared" si="7"/>
        <v>120</v>
      </c>
      <c r="J492" t="str" cm="1">
        <f t="array" ref="J492">_xlfn.IFS(
AND(I492&gt;=89,I492&lt;=92),"D-90",
AND(I492&gt;=58,I492&lt;=62),"D-60",
AND(I492&gt;=28,I492&lt;=32),"D-30",
AND(I492=0),"당월",
TRUE,"그외")</f>
        <v>그외</v>
      </c>
    </row>
    <row r="493" spans="1:10" ht="17.649999999999999" customHeight="1" x14ac:dyDescent="0.3">
      <c r="A493" s="4">
        <v>45717</v>
      </c>
      <c r="B493" s="5" t="s">
        <v>12</v>
      </c>
      <c r="C493" s="4">
        <v>45597</v>
      </c>
      <c r="D493" s="5" t="s">
        <v>10</v>
      </c>
      <c r="E493" s="6">
        <v>79</v>
      </c>
      <c r="F493" s="6">
        <v>264979.74683544302</v>
      </c>
      <c r="G493" s="6">
        <v>20933400</v>
      </c>
      <c r="H493" s="6">
        <v>2006600</v>
      </c>
      <c r="I493" s="6">
        <f t="shared" si="7"/>
        <v>120</v>
      </c>
      <c r="J493" t="str" cm="1">
        <f t="array" ref="J493">_xlfn.IFS(
AND(I493&gt;=89,I493&lt;=92),"D-90",
AND(I493&gt;=58,I493&lt;=62),"D-60",
AND(I493&gt;=28,I493&lt;=32),"D-30",
AND(I493=0),"당월",
TRUE,"그외")</f>
        <v>그외</v>
      </c>
    </row>
    <row r="494" spans="1:10" ht="17.649999999999999" customHeight="1" x14ac:dyDescent="0.3">
      <c r="A494" s="4">
        <v>45717</v>
      </c>
      <c r="B494" s="5" t="s">
        <v>12</v>
      </c>
      <c r="C494" s="4">
        <v>45627</v>
      </c>
      <c r="D494" s="5" t="s">
        <v>9</v>
      </c>
      <c r="E494" s="6">
        <v>397</v>
      </c>
      <c r="F494" s="6">
        <v>222283.37531486139</v>
      </c>
      <c r="G494" s="6">
        <v>88246500</v>
      </c>
      <c r="H494" s="6">
        <v>12108500</v>
      </c>
      <c r="I494" s="6">
        <f t="shared" si="7"/>
        <v>90</v>
      </c>
      <c r="J494" t="str" cm="1">
        <f t="array" ref="J494">_xlfn.IFS(
AND(I494&gt;=89,I494&lt;=92),"D-90",
AND(I494&gt;=58,I494&lt;=62),"D-60",
AND(I494&gt;=28,I494&lt;=32),"D-30",
AND(I494=0),"당월",
TRUE,"그외")</f>
        <v>D-90</v>
      </c>
    </row>
    <row r="495" spans="1:10" ht="17.649999999999999" customHeight="1" x14ac:dyDescent="0.3">
      <c r="A495" s="4">
        <v>45717</v>
      </c>
      <c r="B495" s="5" t="s">
        <v>12</v>
      </c>
      <c r="C495" s="4">
        <v>45627</v>
      </c>
      <c r="D495" s="5" t="s">
        <v>10</v>
      </c>
      <c r="E495" s="6">
        <v>425</v>
      </c>
      <c r="F495" s="6">
        <v>193845.20941176469</v>
      </c>
      <c r="G495" s="6">
        <v>82384214</v>
      </c>
      <c r="H495" s="6">
        <v>13034489</v>
      </c>
      <c r="I495" s="6">
        <f t="shared" si="7"/>
        <v>90</v>
      </c>
      <c r="J495" t="str" cm="1">
        <f t="array" ref="J495">_xlfn.IFS(
AND(I495&gt;=89,I495&lt;=92),"D-90",
AND(I495&gt;=58,I495&lt;=62),"D-60",
AND(I495&gt;=28,I495&lt;=32),"D-30",
AND(I495=0),"당월",
TRUE,"그외")</f>
        <v>D-90</v>
      </c>
    </row>
    <row r="496" spans="1:10" ht="17.649999999999999" customHeight="1" x14ac:dyDescent="0.3">
      <c r="A496" s="4">
        <v>45717</v>
      </c>
      <c r="B496" s="5" t="s">
        <v>12</v>
      </c>
      <c r="C496" s="4">
        <v>45658</v>
      </c>
      <c r="D496" s="5" t="s">
        <v>9</v>
      </c>
      <c r="E496" s="6">
        <v>455</v>
      </c>
      <c r="F496" s="6">
        <v>169881.31868131869</v>
      </c>
      <c r="G496" s="6">
        <v>77296000</v>
      </c>
      <c r="H496" s="6">
        <v>14105000</v>
      </c>
      <c r="I496" s="6">
        <f t="shared" si="7"/>
        <v>59</v>
      </c>
      <c r="J496" t="str" cm="1">
        <f t="array" ref="J496">_xlfn.IFS(
AND(I496&gt;=89,I496&lt;=92),"D-90",
AND(I496&gt;=58,I496&lt;=62),"D-60",
AND(I496&gt;=28,I496&lt;=32),"D-30",
AND(I496=0),"당월",
TRUE,"그외")</f>
        <v>D-60</v>
      </c>
    </row>
    <row r="497" spans="1:10" ht="17.649999999999999" customHeight="1" x14ac:dyDescent="0.3">
      <c r="A497" s="4">
        <v>45717</v>
      </c>
      <c r="B497" s="5" t="s">
        <v>12</v>
      </c>
      <c r="C497" s="4">
        <v>45658</v>
      </c>
      <c r="D497" s="5" t="s">
        <v>10</v>
      </c>
      <c r="E497" s="6">
        <v>1664</v>
      </c>
      <c r="F497" s="6">
        <v>172754.99519230769</v>
      </c>
      <c r="G497" s="6">
        <v>287464312</v>
      </c>
      <c r="H497" s="6">
        <v>51994059</v>
      </c>
      <c r="I497" s="6">
        <f t="shared" si="7"/>
        <v>59</v>
      </c>
      <c r="J497" t="str" cm="1">
        <f t="array" ref="J497">_xlfn.IFS(
AND(I497&gt;=89,I497&lt;=92),"D-90",
AND(I497&gt;=58,I497&lt;=62),"D-60",
AND(I497&gt;=28,I497&lt;=32),"D-30",
AND(I497=0),"당월",
TRUE,"그외")</f>
        <v>D-60</v>
      </c>
    </row>
    <row r="498" spans="1:10" ht="17.649999999999999" customHeight="1" x14ac:dyDescent="0.3">
      <c r="A498" s="4">
        <v>45717</v>
      </c>
      <c r="B498" s="5" t="s">
        <v>12</v>
      </c>
      <c r="C498" s="4">
        <v>45689</v>
      </c>
      <c r="D498" s="5" t="s">
        <v>9</v>
      </c>
      <c r="E498" s="6">
        <v>3377</v>
      </c>
      <c r="F498" s="6">
        <v>148318.4779389991</v>
      </c>
      <c r="G498" s="6">
        <v>500871500</v>
      </c>
      <c r="H498" s="6">
        <v>108393500</v>
      </c>
      <c r="I498" s="6">
        <f t="shared" si="7"/>
        <v>28</v>
      </c>
      <c r="J498" t="str" cm="1">
        <f t="array" ref="J498">_xlfn.IFS(
AND(I498&gt;=89,I498&lt;=92),"D-90",
AND(I498&gt;=58,I498&lt;=62),"D-60",
AND(I498&gt;=28,I498&lt;=32),"D-30",
AND(I498=0),"당월",
TRUE,"그외")</f>
        <v>D-30</v>
      </c>
    </row>
    <row r="499" spans="1:10" ht="17.649999999999999" customHeight="1" x14ac:dyDescent="0.3">
      <c r="A499" s="4">
        <v>45717</v>
      </c>
      <c r="B499" s="5" t="s">
        <v>12</v>
      </c>
      <c r="C499" s="4">
        <v>45689</v>
      </c>
      <c r="D499" s="5" t="s">
        <v>10</v>
      </c>
      <c r="E499" s="6">
        <v>1359</v>
      </c>
      <c r="F499" s="6">
        <v>183743.37748344371</v>
      </c>
      <c r="G499" s="6">
        <v>249707250</v>
      </c>
      <c r="H499" s="6">
        <v>43860873</v>
      </c>
      <c r="I499" s="6">
        <f t="shared" si="7"/>
        <v>28</v>
      </c>
      <c r="J499" t="str" cm="1">
        <f t="array" ref="J499">_xlfn.IFS(
AND(I499&gt;=89,I499&lt;=92),"D-90",
AND(I499&gt;=58,I499&lt;=62),"D-60",
AND(I499&gt;=28,I499&lt;=32),"D-30",
AND(I499=0),"당월",
TRUE,"그외")</f>
        <v>D-30</v>
      </c>
    </row>
    <row r="500" spans="1:10" ht="17.649999999999999" customHeight="1" x14ac:dyDescent="0.3">
      <c r="A500" s="4">
        <v>45717</v>
      </c>
      <c r="B500" s="5" t="s">
        <v>12</v>
      </c>
      <c r="C500" s="4">
        <v>45717</v>
      </c>
      <c r="D500" s="5" t="s">
        <v>9</v>
      </c>
      <c r="E500" s="6">
        <v>757</v>
      </c>
      <c r="F500" s="6">
        <v>148780.97754293261</v>
      </c>
      <c r="G500" s="6">
        <v>112627200</v>
      </c>
      <c r="H500" s="6">
        <v>26978200</v>
      </c>
      <c r="I500" s="6">
        <f t="shared" si="7"/>
        <v>0</v>
      </c>
      <c r="J500" t="str" cm="1">
        <f t="array" ref="J500">_xlfn.IFS(
AND(I500&gt;=89,I500&lt;=92),"D-90",
AND(I500&gt;=58,I500&lt;=62),"D-60",
AND(I500&gt;=28,I500&lt;=32),"D-30",
AND(I500=0),"당월",
TRUE,"그외")</f>
        <v>당월</v>
      </c>
    </row>
    <row r="501" spans="1:10" ht="17.649999999999999" customHeight="1" x14ac:dyDescent="0.3">
      <c r="A501" s="4">
        <v>45717</v>
      </c>
      <c r="B501" s="5" t="s">
        <v>12</v>
      </c>
      <c r="C501" s="4">
        <v>45717</v>
      </c>
      <c r="D501" s="5" t="s">
        <v>10</v>
      </c>
      <c r="E501" s="6">
        <v>716</v>
      </c>
      <c r="F501" s="6">
        <v>157894.561452514</v>
      </c>
      <c r="G501" s="6">
        <v>113052506</v>
      </c>
      <c r="H501" s="6">
        <v>24799308</v>
      </c>
      <c r="I501" s="6">
        <f t="shared" si="7"/>
        <v>0</v>
      </c>
      <c r="J501" t="str" cm="1">
        <f t="array" ref="J501">_xlfn.IFS(
AND(I501&gt;=89,I501&lt;=92),"D-90",
AND(I501&gt;=58,I501&lt;=62),"D-60",
AND(I501&gt;=28,I501&lt;=32),"D-30",
AND(I501=0),"당월",
TRUE,"그외")</f>
        <v>당월</v>
      </c>
    </row>
    <row r="502" spans="1:10" ht="17.649999999999999" customHeight="1" x14ac:dyDescent="0.3">
      <c r="A502" s="4">
        <v>45717</v>
      </c>
      <c r="B502" s="5" t="s">
        <v>13</v>
      </c>
      <c r="C502" s="4">
        <v>45505</v>
      </c>
      <c r="D502" s="5" t="s">
        <v>10</v>
      </c>
      <c r="E502" s="6">
        <v>37</v>
      </c>
      <c r="F502" s="6">
        <v>166618.91891891891</v>
      </c>
      <c r="G502" s="6">
        <v>6164900</v>
      </c>
      <c r="H502" s="6">
        <v>1483700</v>
      </c>
      <c r="I502" s="6">
        <f t="shared" si="7"/>
        <v>212</v>
      </c>
      <c r="J502" t="str" cm="1">
        <f t="array" ref="J502">_xlfn.IFS(
AND(I502&gt;=89,I502&lt;=92),"D-90",
AND(I502&gt;=58,I502&lt;=62),"D-60",
AND(I502&gt;=28,I502&lt;=32),"D-30",
AND(I502=0),"당월",
TRUE,"그외")</f>
        <v>그외</v>
      </c>
    </row>
    <row r="503" spans="1:10" ht="17.649999999999999" customHeight="1" x14ac:dyDescent="0.3">
      <c r="A503" s="4">
        <v>45717</v>
      </c>
      <c r="B503" s="5" t="s">
        <v>13</v>
      </c>
      <c r="C503" s="4">
        <v>45536</v>
      </c>
      <c r="D503" s="5" t="s">
        <v>10</v>
      </c>
      <c r="E503" s="6">
        <v>64</v>
      </c>
      <c r="F503" s="6">
        <v>159993.75</v>
      </c>
      <c r="G503" s="6">
        <v>10239600</v>
      </c>
      <c r="H503" s="6">
        <v>2291200</v>
      </c>
      <c r="I503" s="6">
        <f t="shared" si="7"/>
        <v>181</v>
      </c>
      <c r="J503" t="str" cm="1">
        <f t="array" ref="J503">_xlfn.IFS(
AND(I503&gt;=89,I503&lt;=92),"D-90",
AND(I503&gt;=58,I503&lt;=62),"D-60",
AND(I503&gt;=28,I503&lt;=32),"D-30",
AND(I503=0),"당월",
TRUE,"그외")</f>
        <v>그외</v>
      </c>
    </row>
    <row r="504" spans="1:10" ht="17.649999999999999" customHeight="1" x14ac:dyDescent="0.3">
      <c r="A504" s="4">
        <v>45717</v>
      </c>
      <c r="B504" s="5" t="s">
        <v>13</v>
      </c>
      <c r="C504" s="4">
        <v>45566</v>
      </c>
      <c r="D504" s="5" t="s">
        <v>10</v>
      </c>
      <c r="E504" s="6">
        <v>88</v>
      </c>
      <c r="F504" s="6">
        <v>119023.2954545455</v>
      </c>
      <c r="G504" s="6">
        <v>10474050</v>
      </c>
      <c r="H504" s="6">
        <v>2264398</v>
      </c>
      <c r="I504" s="6">
        <f t="shared" si="7"/>
        <v>151</v>
      </c>
      <c r="J504" t="str" cm="1">
        <f t="array" ref="J504">_xlfn.IFS(
AND(I504&gt;=89,I504&lt;=92),"D-90",
AND(I504&gt;=58,I504&lt;=62),"D-60",
AND(I504&gt;=28,I504&lt;=32),"D-30",
AND(I504=0),"당월",
TRUE,"그외")</f>
        <v>그외</v>
      </c>
    </row>
    <row r="505" spans="1:10" ht="17.649999999999999" customHeight="1" x14ac:dyDescent="0.3">
      <c r="A505" s="4">
        <v>45717</v>
      </c>
      <c r="B505" s="5" t="s">
        <v>13</v>
      </c>
      <c r="C505" s="4">
        <v>45597</v>
      </c>
      <c r="D505" s="5" t="s">
        <v>9</v>
      </c>
      <c r="E505" s="6">
        <v>536</v>
      </c>
      <c r="F505" s="6">
        <v>155534.32835820899</v>
      </c>
      <c r="G505" s="6">
        <v>83366400</v>
      </c>
      <c r="H505" s="6">
        <v>13614400</v>
      </c>
      <c r="I505" s="6">
        <f t="shared" si="7"/>
        <v>120</v>
      </c>
      <c r="J505" t="str" cm="1">
        <f t="array" ref="J505">_xlfn.IFS(
AND(I505&gt;=89,I505&lt;=92),"D-90",
AND(I505&gt;=58,I505&lt;=62),"D-60",
AND(I505&gt;=28,I505&lt;=32),"D-30",
AND(I505=0),"당월",
TRUE,"그외")</f>
        <v>그외</v>
      </c>
    </row>
    <row r="506" spans="1:10" ht="17.649999999999999" customHeight="1" x14ac:dyDescent="0.3">
      <c r="A506" s="4">
        <v>45717</v>
      </c>
      <c r="B506" s="5" t="s">
        <v>13</v>
      </c>
      <c r="C506" s="4">
        <v>45597</v>
      </c>
      <c r="D506" s="5" t="s">
        <v>10</v>
      </c>
      <c r="E506" s="6">
        <v>122</v>
      </c>
      <c r="F506" s="6">
        <v>196989.34426229511</v>
      </c>
      <c r="G506" s="6">
        <v>24032700</v>
      </c>
      <c r="H506" s="6">
        <v>3115484</v>
      </c>
      <c r="I506" s="6">
        <f t="shared" si="7"/>
        <v>120</v>
      </c>
      <c r="J506" t="str" cm="1">
        <f t="array" ref="J506">_xlfn.IFS(
AND(I506&gt;=89,I506&lt;=92),"D-90",
AND(I506&gt;=58,I506&lt;=62),"D-60",
AND(I506&gt;=28,I506&lt;=32),"D-30",
AND(I506=0),"당월",
TRUE,"그외")</f>
        <v>그외</v>
      </c>
    </row>
    <row r="507" spans="1:10" ht="17.649999999999999" customHeight="1" x14ac:dyDescent="0.3">
      <c r="A507" s="4">
        <v>45717</v>
      </c>
      <c r="B507" s="5" t="s">
        <v>13</v>
      </c>
      <c r="C507" s="4">
        <v>45627</v>
      </c>
      <c r="D507" s="5" t="s">
        <v>9</v>
      </c>
      <c r="E507" s="6">
        <v>731</v>
      </c>
      <c r="F507" s="6">
        <v>147482.21614227089</v>
      </c>
      <c r="G507" s="6">
        <v>107809500</v>
      </c>
      <c r="H507" s="6">
        <v>22295500</v>
      </c>
      <c r="I507" s="6">
        <f t="shared" si="7"/>
        <v>90</v>
      </c>
      <c r="J507" t="str" cm="1">
        <f t="array" ref="J507">_xlfn.IFS(
AND(I507&gt;=89,I507&lt;=92),"D-90",
AND(I507&gt;=58,I507&lt;=62),"D-60",
AND(I507&gt;=28,I507&lt;=32),"D-30",
AND(I507=0),"당월",
TRUE,"그외")</f>
        <v>D-90</v>
      </c>
    </row>
    <row r="508" spans="1:10" ht="17.649999999999999" customHeight="1" x14ac:dyDescent="0.3">
      <c r="A508" s="4">
        <v>45717</v>
      </c>
      <c r="B508" s="5" t="s">
        <v>13</v>
      </c>
      <c r="C508" s="4">
        <v>45627</v>
      </c>
      <c r="D508" s="5" t="s">
        <v>10</v>
      </c>
      <c r="E508" s="6">
        <v>290</v>
      </c>
      <c r="F508" s="6">
        <v>226035.79655172411</v>
      </c>
      <c r="G508" s="6">
        <v>65550381</v>
      </c>
      <c r="H508" s="6">
        <v>9001874</v>
      </c>
      <c r="I508" s="6">
        <f t="shared" si="7"/>
        <v>90</v>
      </c>
      <c r="J508" t="str" cm="1">
        <f t="array" ref="J508">_xlfn.IFS(
AND(I508&gt;=89,I508&lt;=92),"D-90",
AND(I508&gt;=58,I508&lt;=62),"D-60",
AND(I508&gt;=28,I508&lt;=32),"D-30",
AND(I508=0),"당월",
TRUE,"그외")</f>
        <v>D-90</v>
      </c>
    </row>
    <row r="509" spans="1:10" ht="17.649999999999999" customHeight="1" x14ac:dyDescent="0.3">
      <c r="A509" s="4">
        <v>45717</v>
      </c>
      <c r="B509" s="5" t="s">
        <v>13</v>
      </c>
      <c r="C509" s="4">
        <v>45658</v>
      </c>
      <c r="D509" s="5" t="s">
        <v>9</v>
      </c>
      <c r="E509" s="6">
        <v>170</v>
      </c>
      <c r="F509" s="6">
        <v>190058.82352941181</v>
      </c>
      <c r="G509" s="6">
        <v>32310000</v>
      </c>
      <c r="H509" s="6">
        <v>5270000</v>
      </c>
      <c r="I509" s="6">
        <f t="shared" si="7"/>
        <v>59</v>
      </c>
      <c r="J509" t="str" cm="1">
        <f t="array" ref="J509">_xlfn.IFS(
AND(I509&gt;=89,I509&lt;=92),"D-90",
AND(I509&gt;=58,I509&lt;=62),"D-60",
AND(I509&gt;=28,I509&lt;=32),"D-30",
AND(I509=0),"당월",
TRUE,"그외")</f>
        <v>D-60</v>
      </c>
    </row>
    <row r="510" spans="1:10" ht="17.649999999999999" customHeight="1" x14ac:dyDescent="0.3">
      <c r="A510" s="4">
        <v>45717</v>
      </c>
      <c r="B510" s="5" t="s">
        <v>13</v>
      </c>
      <c r="C510" s="4">
        <v>45658</v>
      </c>
      <c r="D510" s="5" t="s">
        <v>10</v>
      </c>
      <c r="E510" s="6">
        <v>867</v>
      </c>
      <c r="F510" s="6">
        <v>197455.9803921569</v>
      </c>
      <c r="G510" s="6">
        <v>171194335</v>
      </c>
      <c r="H510" s="6">
        <v>26919590</v>
      </c>
      <c r="I510" s="6">
        <f t="shared" si="7"/>
        <v>59</v>
      </c>
      <c r="J510" t="str" cm="1">
        <f t="array" ref="J510">_xlfn.IFS(
AND(I510&gt;=89,I510&lt;=92),"D-90",
AND(I510&gt;=58,I510&lt;=62),"D-60",
AND(I510&gt;=28,I510&lt;=32),"D-30",
AND(I510=0),"당월",
TRUE,"그외")</f>
        <v>D-60</v>
      </c>
    </row>
    <row r="511" spans="1:10" ht="17.649999999999999" customHeight="1" x14ac:dyDescent="0.3">
      <c r="A511" s="4">
        <v>45717</v>
      </c>
      <c r="B511" s="5" t="s">
        <v>13</v>
      </c>
      <c r="C511" s="4">
        <v>45689</v>
      </c>
      <c r="D511" s="5" t="s">
        <v>9</v>
      </c>
      <c r="E511" s="6">
        <v>1606</v>
      </c>
      <c r="F511" s="6">
        <v>154127.08592777091</v>
      </c>
      <c r="G511" s="6">
        <v>247528100</v>
      </c>
      <c r="H511" s="6">
        <v>51515100</v>
      </c>
      <c r="I511" s="6">
        <f t="shared" si="7"/>
        <v>28</v>
      </c>
      <c r="J511" t="str" cm="1">
        <f t="array" ref="J511">_xlfn.IFS(
AND(I511&gt;=89,I511&lt;=92),"D-90",
AND(I511&gt;=58,I511&lt;=62),"D-60",
AND(I511&gt;=28,I511&lt;=32),"D-30",
AND(I511=0),"당월",
TRUE,"그외")</f>
        <v>D-30</v>
      </c>
    </row>
    <row r="512" spans="1:10" ht="17.649999999999999" customHeight="1" x14ac:dyDescent="0.3">
      <c r="A512" s="4">
        <v>45717</v>
      </c>
      <c r="B512" s="5" t="s">
        <v>13</v>
      </c>
      <c r="C512" s="4">
        <v>45689</v>
      </c>
      <c r="D512" s="5" t="s">
        <v>10</v>
      </c>
      <c r="E512" s="6">
        <v>1602</v>
      </c>
      <c r="F512" s="6">
        <v>169344.58052434461</v>
      </c>
      <c r="G512" s="6">
        <v>271290018</v>
      </c>
      <c r="H512" s="6">
        <v>51102985</v>
      </c>
      <c r="I512" s="6">
        <f t="shared" si="7"/>
        <v>28</v>
      </c>
      <c r="J512" t="str" cm="1">
        <f t="array" ref="J512">_xlfn.IFS(
AND(I512&gt;=89,I512&lt;=92),"D-90",
AND(I512&gt;=58,I512&lt;=62),"D-60",
AND(I512&gt;=28,I512&lt;=32),"D-30",
AND(I512=0),"당월",
TRUE,"그외")</f>
        <v>D-30</v>
      </c>
    </row>
    <row r="513" spans="1:10" ht="17.649999999999999" customHeight="1" x14ac:dyDescent="0.3">
      <c r="A513" s="4">
        <v>45717</v>
      </c>
      <c r="B513" s="5" t="s">
        <v>13</v>
      </c>
      <c r="C513" s="4">
        <v>45717</v>
      </c>
      <c r="D513" s="5" t="s">
        <v>9</v>
      </c>
      <c r="E513" s="6">
        <v>603</v>
      </c>
      <c r="F513" s="6">
        <v>124795.8540630182</v>
      </c>
      <c r="G513" s="6">
        <v>75251900</v>
      </c>
      <c r="H513" s="6">
        <v>21274900</v>
      </c>
      <c r="I513" s="6">
        <f t="shared" si="7"/>
        <v>0</v>
      </c>
      <c r="J513" t="str" cm="1">
        <f t="array" ref="J513">_xlfn.IFS(
AND(I513&gt;=89,I513&lt;=92),"D-90",
AND(I513&gt;=58,I513&lt;=62),"D-60",
AND(I513&gt;=28,I513&lt;=32),"D-30",
AND(I513=0),"당월",
TRUE,"그외")</f>
        <v>당월</v>
      </c>
    </row>
    <row r="514" spans="1:10" ht="17.649999999999999" customHeight="1" x14ac:dyDescent="0.3">
      <c r="A514" s="4">
        <v>45717</v>
      </c>
      <c r="B514" s="5" t="s">
        <v>13</v>
      </c>
      <c r="C514" s="4">
        <v>45717</v>
      </c>
      <c r="D514" s="5" t="s">
        <v>10</v>
      </c>
      <c r="E514" s="6">
        <v>1106</v>
      </c>
      <c r="F514" s="6">
        <v>106538.71790235081</v>
      </c>
      <c r="G514" s="6">
        <v>117831822</v>
      </c>
      <c r="H514" s="6">
        <v>39356142</v>
      </c>
      <c r="I514" s="6">
        <f t="shared" si="7"/>
        <v>0</v>
      </c>
      <c r="J514" t="str" cm="1">
        <f t="array" ref="J514">_xlfn.IFS(
AND(I514&gt;=89,I514&lt;=92),"D-90",
AND(I514&gt;=58,I514&lt;=62),"D-60",
AND(I514&gt;=28,I514&lt;=32),"D-30",
AND(I514=0),"당월",
TRUE,"그외")</f>
        <v>당월</v>
      </c>
    </row>
    <row r="515" spans="1:10" ht="17.649999999999999" customHeight="1" x14ac:dyDescent="0.3">
      <c r="A515" s="4">
        <v>45748</v>
      </c>
      <c r="B515" s="5" t="s">
        <v>8</v>
      </c>
      <c r="C515" s="4">
        <v>45658</v>
      </c>
      <c r="D515" s="5" t="s">
        <v>9</v>
      </c>
      <c r="E515" s="6">
        <v>10</v>
      </c>
      <c r="F515" s="6">
        <v>141000</v>
      </c>
      <c r="G515" s="6">
        <v>1410000</v>
      </c>
      <c r="H515" s="6">
        <v>310000</v>
      </c>
      <c r="I515" s="6">
        <f t="shared" ref="I515:I578" si="8">A515-C515</f>
        <v>90</v>
      </c>
      <c r="J515" t="str" cm="1">
        <f t="array" ref="J515">_xlfn.IFS(
AND(I515&gt;=89,I515&lt;=92),"D-90",
AND(I515&gt;=58,I515&lt;=62),"D-60",
AND(I515&gt;=28,I515&lt;=32),"D-30",
AND(I515=0),"당월",
TRUE,"그외")</f>
        <v>D-90</v>
      </c>
    </row>
    <row r="516" spans="1:10" ht="17.649999999999999" customHeight="1" x14ac:dyDescent="0.3">
      <c r="A516" s="4">
        <v>45748</v>
      </c>
      <c r="B516" s="5" t="s">
        <v>8</v>
      </c>
      <c r="C516" s="4">
        <v>45658</v>
      </c>
      <c r="D516" s="5" t="s">
        <v>10</v>
      </c>
      <c r="E516" s="6">
        <v>922</v>
      </c>
      <c r="F516" s="6">
        <v>175513.6106290672</v>
      </c>
      <c r="G516" s="6">
        <v>161823549</v>
      </c>
      <c r="H516" s="6">
        <v>28716217</v>
      </c>
      <c r="I516" s="6">
        <f t="shared" si="8"/>
        <v>90</v>
      </c>
      <c r="J516" t="str" cm="1">
        <f t="array" ref="J516">_xlfn.IFS(
AND(I516&gt;=89,I516&lt;=92),"D-90",
AND(I516&gt;=58,I516&lt;=62),"D-60",
AND(I516&gt;=28,I516&lt;=32),"D-30",
AND(I516=0),"당월",
TRUE,"그외")</f>
        <v>D-90</v>
      </c>
    </row>
    <row r="517" spans="1:10" ht="17.649999999999999" customHeight="1" x14ac:dyDescent="0.3">
      <c r="A517" s="4">
        <v>45748</v>
      </c>
      <c r="B517" s="5" t="s">
        <v>8</v>
      </c>
      <c r="C517" s="4">
        <v>45689</v>
      </c>
      <c r="D517" s="5" t="s">
        <v>9</v>
      </c>
      <c r="E517" s="6">
        <v>981</v>
      </c>
      <c r="F517" s="6">
        <v>146631.29459734971</v>
      </c>
      <c r="G517" s="6">
        <v>143845300</v>
      </c>
      <c r="H517" s="6">
        <v>31481300</v>
      </c>
      <c r="I517" s="6">
        <f t="shared" si="8"/>
        <v>59</v>
      </c>
      <c r="J517" t="str" cm="1">
        <f t="array" ref="J517">_xlfn.IFS(
AND(I517&gt;=89,I517&lt;=92),"D-90",
AND(I517&gt;=58,I517&lt;=62),"D-60",
AND(I517&gt;=28,I517&lt;=32),"D-30",
AND(I517=0),"당월",
TRUE,"그외")</f>
        <v>D-60</v>
      </c>
    </row>
    <row r="518" spans="1:10" ht="17.649999999999999" customHeight="1" x14ac:dyDescent="0.3">
      <c r="A518" s="4">
        <v>45748</v>
      </c>
      <c r="B518" s="5" t="s">
        <v>8</v>
      </c>
      <c r="C518" s="4">
        <v>45689</v>
      </c>
      <c r="D518" s="5" t="s">
        <v>10</v>
      </c>
      <c r="E518" s="6">
        <v>1733</v>
      </c>
      <c r="F518" s="6">
        <v>159563.82746682051</v>
      </c>
      <c r="G518" s="6">
        <v>276524113</v>
      </c>
      <c r="H518" s="6">
        <v>55447412</v>
      </c>
      <c r="I518" s="6">
        <f t="shared" si="8"/>
        <v>59</v>
      </c>
      <c r="J518" t="str" cm="1">
        <f t="array" ref="J518">_xlfn.IFS(
AND(I518&gt;=89,I518&lt;=92),"D-90",
AND(I518&gt;=58,I518&lt;=62),"D-60",
AND(I518&gt;=28,I518&lt;=32),"D-30",
AND(I518=0),"당월",
TRUE,"그외")</f>
        <v>D-60</v>
      </c>
    </row>
    <row r="519" spans="1:10" ht="17.649999999999999" customHeight="1" x14ac:dyDescent="0.3">
      <c r="A519" s="4">
        <v>45748</v>
      </c>
      <c r="B519" s="5" t="s">
        <v>8</v>
      </c>
      <c r="C519" s="4">
        <v>45717</v>
      </c>
      <c r="D519" s="5" t="s">
        <v>9</v>
      </c>
      <c r="E519" s="6">
        <v>2469</v>
      </c>
      <c r="F519" s="6">
        <v>140708.34345889019</v>
      </c>
      <c r="G519" s="6">
        <v>347408900</v>
      </c>
      <c r="H519" s="6">
        <v>92795900</v>
      </c>
      <c r="I519" s="6">
        <f t="shared" si="8"/>
        <v>31</v>
      </c>
      <c r="J519" t="str" cm="1">
        <f t="array" ref="J519">_xlfn.IFS(
AND(I519&gt;=89,I519&lt;=92),"D-90",
AND(I519&gt;=58,I519&lt;=62),"D-60",
AND(I519&gt;=28,I519&lt;=32),"D-30",
AND(I519=0),"당월",
TRUE,"그외")</f>
        <v>D-30</v>
      </c>
    </row>
    <row r="520" spans="1:10" ht="17.649999999999999" customHeight="1" x14ac:dyDescent="0.3">
      <c r="A520" s="4">
        <v>45748</v>
      </c>
      <c r="B520" s="5" t="s">
        <v>8</v>
      </c>
      <c r="C520" s="4">
        <v>45717</v>
      </c>
      <c r="D520" s="5" t="s">
        <v>10</v>
      </c>
      <c r="E520" s="6">
        <v>1571</v>
      </c>
      <c r="F520" s="6">
        <v>150530.06365372369</v>
      </c>
      <c r="G520" s="6">
        <v>236482730</v>
      </c>
      <c r="H520" s="6">
        <v>58246662</v>
      </c>
      <c r="I520" s="6">
        <f t="shared" si="8"/>
        <v>31</v>
      </c>
      <c r="J520" t="str" cm="1">
        <f t="array" ref="J520">_xlfn.IFS(
AND(I520&gt;=89,I520&lt;=92),"D-90",
AND(I520&gt;=58,I520&lt;=62),"D-60",
AND(I520&gt;=28,I520&lt;=32),"D-30",
AND(I520=0),"당월",
TRUE,"그외")</f>
        <v>D-30</v>
      </c>
    </row>
    <row r="521" spans="1:10" ht="17.649999999999999" customHeight="1" x14ac:dyDescent="0.3">
      <c r="A521" s="4">
        <v>45748</v>
      </c>
      <c r="B521" s="5" t="s">
        <v>8</v>
      </c>
      <c r="C521" s="4">
        <v>45748</v>
      </c>
      <c r="D521" s="5" t="s">
        <v>9</v>
      </c>
      <c r="E521" s="6">
        <v>1252</v>
      </c>
      <c r="F521" s="6">
        <v>97609.984025559112</v>
      </c>
      <c r="G521" s="6">
        <v>122207700</v>
      </c>
      <c r="H521" s="6">
        <v>34691700</v>
      </c>
      <c r="I521" s="6">
        <f t="shared" si="8"/>
        <v>0</v>
      </c>
      <c r="J521" t="str" cm="1">
        <f t="array" ref="J521">_xlfn.IFS(
AND(I521&gt;=89,I521&lt;=92),"D-90",
AND(I521&gt;=58,I521&lt;=62),"D-60",
AND(I521&gt;=28,I521&lt;=32),"D-30",
AND(I521=0),"당월",
TRUE,"그외")</f>
        <v>당월</v>
      </c>
    </row>
    <row r="522" spans="1:10" ht="17.649999999999999" customHeight="1" x14ac:dyDescent="0.3">
      <c r="A522" s="4">
        <v>45748</v>
      </c>
      <c r="B522" s="5" t="s">
        <v>8</v>
      </c>
      <c r="C522" s="4">
        <v>45748</v>
      </c>
      <c r="D522" s="5" t="s">
        <v>10</v>
      </c>
      <c r="E522" s="6">
        <v>1248</v>
      </c>
      <c r="F522" s="6">
        <v>142318.86057692309</v>
      </c>
      <c r="G522" s="6">
        <v>177613938</v>
      </c>
      <c r="H522" s="6">
        <v>36908055</v>
      </c>
      <c r="I522" s="6">
        <f t="shared" si="8"/>
        <v>0</v>
      </c>
      <c r="J522" t="str" cm="1">
        <f t="array" ref="J522">_xlfn.IFS(
AND(I522&gt;=89,I522&lt;=92),"D-90",
AND(I522&gt;=58,I522&lt;=62),"D-60",
AND(I522&gt;=28,I522&lt;=32),"D-30",
AND(I522=0),"당월",
TRUE,"그외")</f>
        <v>당월</v>
      </c>
    </row>
    <row r="523" spans="1:10" ht="17.649999999999999" customHeight="1" x14ac:dyDescent="0.3">
      <c r="A523" s="4">
        <v>45748</v>
      </c>
      <c r="B523" s="5" t="s">
        <v>8</v>
      </c>
      <c r="C523" s="4">
        <v>45778</v>
      </c>
      <c r="D523" s="5" t="s">
        <v>10</v>
      </c>
      <c r="E523" s="6">
        <v>3</v>
      </c>
      <c r="F523" s="6">
        <v>186498</v>
      </c>
      <c r="G523" s="6">
        <v>559494</v>
      </c>
      <c r="H523" s="6">
        <v>0</v>
      </c>
      <c r="I523" s="6">
        <f t="shared" si="8"/>
        <v>-30</v>
      </c>
      <c r="J523" t="str" cm="1">
        <f t="array" ref="J523">_xlfn.IFS(
AND(I523&gt;=89,I523&lt;=92),"D-90",
AND(I523&gt;=58,I523&lt;=62),"D-60",
AND(I523&gt;=28,I523&lt;=32),"D-30",
AND(I523=0),"당월",
TRUE,"그외")</f>
        <v>그외</v>
      </c>
    </row>
    <row r="524" spans="1:10" ht="17.649999999999999" customHeight="1" x14ac:dyDescent="0.3">
      <c r="A524" s="4">
        <v>45748</v>
      </c>
      <c r="B524" s="5" t="s">
        <v>11</v>
      </c>
      <c r="C524" s="4">
        <v>45717</v>
      </c>
      <c r="D524" s="5" t="s">
        <v>9</v>
      </c>
      <c r="E524" s="6">
        <v>1446</v>
      </c>
      <c r="F524" s="6">
        <v>160947.64868603041</v>
      </c>
      <c r="G524" s="6">
        <v>232730300</v>
      </c>
      <c r="H524" s="6">
        <v>52199300</v>
      </c>
      <c r="I524" s="6">
        <f t="shared" si="8"/>
        <v>31</v>
      </c>
      <c r="J524" t="str" cm="1">
        <f t="array" ref="J524">_xlfn.IFS(
AND(I524&gt;=89,I524&lt;=92),"D-90",
AND(I524&gt;=58,I524&lt;=62),"D-60",
AND(I524&gt;=28,I524&lt;=32),"D-30",
AND(I524=0),"당월",
TRUE,"그외")</f>
        <v>D-30</v>
      </c>
    </row>
    <row r="525" spans="1:10" ht="17.649999999999999" customHeight="1" x14ac:dyDescent="0.3">
      <c r="A525" s="4">
        <v>45748</v>
      </c>
      <c r="B525" s="5" t="s">
        <v>11</v>
      </c>
      <c r="C525" s="4">
        <v>45717</v>
      </c>
      <c r="D525" s="5" t="s">
        <v>10</v>
      </c>
      <c r="E525" s="6">
        <v>4874</v>
      </c>
      <c r="F525" s="6">
        <v>171374.8941321297</v>
      </c>
      <c r="G525" s="6">
        <v>835281234</v>
      </c>
      <c r="H525" s="6">
        <v>166494589</v>
      </c>
      <c r="I525" s="6">
        <f t="shared" si="8"/>
        <v>31</v>
      </c>
      <c r="J525" t="str" cm="1">
        <f t="array" ref="J525">_xlfn.IFS(
AND(I525&gt;=89,I525&lt;=92),"D-90",
AND(I525&gt;=58,I525&lt;=62),"D-60",
AND(I525&gt;=28,I525&lt;=32),"D-30",
AND(I525=0),"당월",
TRUE,"그외")</f>
        <v>D-30</v>
      </c>
    </row>
    <row r="526" spans="1:10" ht="17.649999999999999" customHeight="1" x14ac:dyDescent="0.3">
      <c r="A526" s="4">
        <v>45748</v>
      </c>
      <c r="B526" s="5" t="s">
        <v>11</v>
      </c>
      <c r="C526" s="4">
        <v>45748</v>
      </c>
      <c r="D526" s="5" t="s">
        <v>9</v>
      </c>
      <c r="E526" s="6">
        <v>503</v>
      </c>
      <c r="F526" s="6">
        <v>132415.50695825051</v>
      </c>
      <c r="G526" s="6">
        <v>66605000</v>
      </c>
      <c r="H526" s="6">
        <v>13872000</v>
      </c>
      <c r="I526" s="6">
        <f t="shared" si="8"/>
        <v>0</v>
      </c>
      <c r="J526" t="str" cm="1">
        <f t="array" ref="J526">_xlfn.IFS(
AND(I526&gt;=89,I526&lt;=92),"D-90",
AND(I526&gt;=58,I526&lt;=62),"D-60",
AND(I526&gt;=28,I526&lt;=32),"D-30",
AND(I526=0),"당월",
TRUE,"그외")</f>
        <v>당월</v>
      </c>
    </row>
    <row r="527" spans="1:10" ht="17.649999999999999" customHeight="1" x14ac:dyDescent="0.3">
      <c r="A527" s="4">
        <v>45748</v>
      </c>
      <c r="B527" s="5" t="s">
        <v>11</v>
      </c>
      <c r="C527" s="4">
        <v>45748</v>
      </c>
      <c r="D527" s="5" t="s">
        <v>10</v>
      </c>
      <c r="E527" s="6">
        <v>1452</v>
      </c>
      <c r="F527" s="6">
        <v>145328.33884297521</v>
      </c>
      <c r="G527" s="6">
        <v>211016748</v>
      </c>
      <c r="H527" s="6">
        <v>42157696</v>
      </c>
      <c r="I527" s="6">
        <f t="shared" si="8"/>
        <v>0</v>
      </c>
      <c r="J527" t="str" cm="1">
        <f t="array" ref="J527">_xlfn.IFS(
AND(I527&gt;=89,I527&lt;=92),"D-90",
AND(I527&gt;=58,I527&lt;=62),"D-60",
AND(I527&gt;=28,I527&lt;=32),"D-30",
AND(I527=0),"당월",
TRUE,"그외")</f>
        <v>당월</v>
      </c>
    </row>
    <row r="528" spans="1:10" ht="17.649999999999999" customHeight="1" x14ac:dyDescent="0.3">
      <c r="A528" s="4">
        <v>45748</v>
      </c>
      <c r="B528" s="5" t="s">
        <v>12</v>
      </c>
      <c r="C528" s="4">
        <v>45717</v>
      </c>
      <c r="D528" s="5" t="s">
        <v>9</v>
      </c>
      <c r="E528" s="6">
        <v>996</v>
      </c>
      <c r="F528" s="6">
        <v>143403.21285140561</v>
      </c>
      <c r="G528" s="6">
        <v>142829600</v>
      </c>
      <c r="H528" s="6">
        <v>33973600</v>
      </c>
      <c r="I528" s="6">
        <f t="shared" si="8"/>
        <v>31</v>
      </c>
      <c r="J528" t="str" cm="1">
        <f t="array" ref="J528">_xlfn.IFS(
AND(I528&gt;=89,I528&lt;=92),"D-90",
AND(I528&gt;=58,I528&lt;=62),"D-60",
AND(I528&gt;=28,I528&lt;=32),"D-30",
AND(I528=0),"당월",
TRUE,"그외")</f>
        <v>D-30</v>
      </c>
    </row>
    <row r="529" spans="1:10" ht="17.649999999999999" customHeight="1" x14ac:dyDescent="0.3">
      <c r="A529" s="4">
        <v>45748</v>
      </c>
      <c r="B529" s="5" t="s">
        <v>12</v>
      </c>
      <c r="C529" s="4">
        <v>45717</v>
      </c>
      <c r="D529" s="5" t="s">
        <v>10</v>
      </c>
      <c r="E529" s="6">
        <v>1848</v>
      </c>
      <c r="F529" s="6">
        <v>157167.67153679649</v>
      </c>
      <c r="G529" s="6">
        <v>290445857</v>
      </c>
      <c r="H529" s="6">
        <v>63714532</v>
      </c>
      <c r="I529" s="6">
        <f t="shared" si="8"/>
        <v>31</v>
      </c>
      <c r="J529" t="str" cm="1">
        <f t="array" ref="J529">_xlfn.IFS(
AND(I529&gt;=89,I529&lt;=92),"D-90",
AND(I529&gt;=58,I529&lt;=62),"D-60",
AND(I529&gt;=28,I529&lt;=32),"D-30",
AND(I529=0),"당월",
TRUE,"그외")</f>
        <v>D-30</v>
      </c>
    </row>
    <row r="530" spans="1:10" ht="17.649999999999999" customHeight="1" x14ac:dyDescent="0.3">
      <c r="A530" s="4">
        <v>45748</v>
      </c>
      <c r="B530" s="5" t="s">
        <v>12</v>
      </c>
      <c r="C530" s="4">
        <v>45748</v>
      </c>
      <c r="D530" s="5" t="s">
        <v>9</v>
      </c>
      <c r="E530" s="6">
        <v>1129</v>
      </c>
      <c r="F530" s="6">
        <v>118190.6997342781</v>
      </c>
      <c r="G530" s="6">
        <v>133437300</v>
      </c>
      <c r="H530" s="6">
        <v>31437300</v>
      </c>
      <c r="I530" s="6">
        <f t="shared" si="8"/>
        <v>0</v>
      </c>
      <c r="J530" t="str" cm="1">
        <f t="array" ref="J530">_xlfn.IFS(
AND(I530&gt;=89,I530&lt;=92),"D-90",
AND(I530&gt;=58,I530&lt;=62),"D-60",
AND(I530&gt;=28,I530&lt;=32),"D-30",
AND(I530=0),"당월",
TRUE,"그외")</f>
        <v>당월</v>
      </c>
    </row>
    <row r="531" spans="1:10" ht="17.649999999999999" customHeight="1" x14ac:dyDescent="0.3">
      <c r="A531" s="4">
        <v>45748</v>
      </c>
      <c r="B531" s="5" t="s">
        <v>12</v>
      </c>
      <c r="C531" s="4">
        <v>45748</v>
      </c>
      <c r="D531" s="5" t="s">
        <v>10</v>
      </c>
      <c r="E531" s="6">
        <v>671</v>
      </c>
      <c r="F531" s="6">
        <v>127451.1400894188</v>
      </c>
      <c r="G531" s="6">
        <v>85519715</v>
      </c>
      <c r="H531" s="6">
        <v>19878952</v>
      </c>
      <c r="I531" s="6">
        <f t="shared" si="8"/>
        <v>0</v>
      </c>
      <c r="J531" t="str" cm="1">
        <f t="array" ref="J531">_xlfn.IFS(
AND(I531&gt;=89,I531&lt;=92),"D-90",
AND(I531&gt;=58,I531&lt;=62),"D-60",
AND(I531&gt;=28,I531&lt;=32),"D-30",
AND(I531=0),"당월",
TRUE,"그외")</f>
        <v>당월</v>
      </c>
    </row>
    <row r="532" spans="1:10" ht="17.649999999999999" customHeight="1" x14ac:dyDescent="0.3">
      <c r="A532" s="4">
        <v>45748</v>
      </c>
      <c r="B532" s="5" t="s">
        <v>13</v>
      </c>
      <c r="C532" s="4">
        <v>45717</v>
      </c>
      <c r="D532" s="5" t="s">
        <v>9</v>
      </c>
      <c r="E532" s="6">
        <v>2227</v>
      </c>
      <c r="F532" s="6">
        <v>144823.17018410421</v>
      </c>
      <c r="G532" s="6">
        <v>322521200</v>
      </c>
      <c r="H532" s="6">
        <v>77476200</v>
      </c>
      <c r="I532" s="6">
        <f t="shared" si="8"/>
        <v>31</v>
      </c>
      <c r="J532" t="str" cm="1">
        <f t="array" ref="J532">_xlfn.IFS(
AND(I532&gt;=89,I532&lt;=92),"D-90",
AND(I532&gt;=58,I532&lt;=62),"D-60",
AND(I532&gt;=28,I532&lt;=32),"D-30",
AND(I532=0),"당월",
TRUE,"그외")</f>
        <v>D-30</v>
      </c>
    </row>
    <row r="533" spans="1:10" ht="17.649999999999999" customHeight="1" x14ac:dyDescent="0.3">
      <c r="A533" s="4">
        <v>45748</v>
      </c>
      <c r="B533" s="5" t="s">
        <v>13</v>
      </c>
      <c r="C533" s="4">
        <v>45717</v>
      </c>
      <c r="D533" s="5" t="s">
        <v>10</v>
      </c>
      <c r="E533" s="6">
        <v>3131</v>
      </c>
      <c r="F533" s="6">
        <v>136264.31172149471</v>
      </c>
      <c r="G533" s="6">
        <v>426643560</v>
      </c>
      <c r="H533" s="6">
        <v>107952258</v>
      </c>
      <c r="I533" s="6">
        <f t="shared" si="8"/>
        <v>31</v>
      </c>
      <c r="J533" t="str" cm="1">
        <f t="array" ref="J533">_xlfn.IFS(
AND(I533&gt;=89,I533&lt;=92),"D-90",
AND(I533&gt;=58,I533&lt;=62),"D-60",
AND(I533&gt;=28,I533&lt;=32),"D-30",
AND(I533=0),"당월",
TRUE,"그외")</f>
        <v>D-30</v>
      </c>
    </row>
    <row r="534" spans="1:10" ht="17.649999999999999" customHeight="1" x14ac:dyDescent="0.3">
      <c r="A534" s="4">
        <v>45748</v>
      </c>
      <c r="B534" s="5" t="s">
        <v>13</v>
      </c>
      <c r="C534" s="4">
        <v>45748</v>
      </c>
      <c r="D534" s="5" t="s">
        <v>9</v>
      </c>
      <c r="E534" s="6">
        <v>1110</v>
      </c>
      <c r="F534" s="6">
        <v>102066.6666666667</v>
      </c>
      <c r="G534" s="6">
        <v>113294000</v>
      </c>
      <c r="H534" s="6">
        <v>31152000</v>
      </c>
      <c r="I534" s="6">
        <f t="shared" si="8"/>
        <v>0</v>
      </c>
      <c r="J534" t="str" cm="1">
        <f t="array" ref="J534">_xlfn.IFS(
AND(I534&gt;=89,I534&lt;=92),"D-90",
AND(I534&gt;=58,I534&lt;=62),"D-60",
AND(I534&gt;=28,I534&lt;=32),"D-30",
AND(I534=0),"당월",
TRUE,"그외")</f>
        <v>당월</v>
      </c>
    </row>
    <row r="535" spans="1:10" ht="17.649999999999999" customHeight="1" x14ac:dyDescent="0.3">
      <c r="A535" s="4">
        <v>45748</v>
      </c>
      <c r="B535" s="5" t="s">
        <v>13</v>
      </c>
      <c r="C535" s="4">
        <v>45748</v>
      </c>
      <c r="D535" s="5" t="s">
        <v>10</v>
      </c>
      <c r="E535" s="6">
        <v>1409</v>
      </c>
      <c r="F535" s="6">
        <v>105875.4620298084</v>
      </c>
      <c r="G535" s="6">
        <v>149178526</v>
      </c>
      <c r="H535" s="6">
        <v>39422706</v>
      </c>
      <c r="I535" s="6">
        <f t="shared" si="8"/>
        <v>0</v>
      </c>
      <c r="J535" t="str" cm="1">
        <f t="array" ref="J535">_xlfn.IFS(
AND(I535&gt;=89,I535&lt;=92),"D-90",
AND(I535&gt;=58,I535&lt;=62),"D-60",
AND(I535&gt;=28,I535&lt;=32),"D-30",
AND(I535=0),"당월",
TRUE,"그외")</f>
        <v>당월</v>
      </c>
    </row>
    <row r="536" spans="1:10" ht="17.649999999999999" customHeight="1" x14ac:dyDescent="0.3">
      <c r="A536" s="4">
        <v>45778</v>
      </c>
      <c r="B536" s="5" t="s">
        <v>8</v>
      </c>
      <c r="C536" s="4">
        <v>45658</v>
      </c>
      <c r="D536" s="5" t="s">
        <v>9</v>
      </c>
      <c r="E536" s="6">
        <v>140</v>
      </c>
      <c r="F536" s="6">
        <v>352857.14285714278</v>
      </c>
      <c r="G536" s="6">
        <v>49400000</v>
      </c>
      <c r="H536" s="6">
        <v>4340000</v>
      </c>
      <c r="I536" s="6">
        <f t="shared" si="8"/>
        <v>120</v>
      </c>
      <c r="J536" t="str" cm="1">
        <f t="array" ref="J536">_xlfn.IFS(
AND(I536&gt;=89,I536&lt;=92),"D-90",
AND(I536&gt;=58,I536&lt;=62),"D-60",
AND(I536&gt;=28,I536&lt;=32),"D-30",
AND(I536=0),"당월",
TRUE,"그외")</f>
        <v>그외</v>
      </c>
    </row>
    <row r="537" spans="1:10" ht="17.649999999999999" customHeight="1" x14ac:dyDescent="0.3">
      <c r="A537" s="4">
        <v>45778</v>
      </c>
      <c r="B537" s="5" t="s">
        <v>8</v>
      </c>
      <c r="C537" s="4">
        <v>45658</v>
      </c>
      <c r="D537" s="5" t="s">
        <v>10</v>
      </c>
      <c r="E537" s="6">
        <v>623</v>
      </c>
      <c r="F537" s="6">
        <v>275181.69020866771</v>
      </c>
      <c r="G537" s="6">
        <v>171438193</v>
      </c>
      <c r="H537" s="6">
        <v>19363914</v>
      </c>
      <c r="I537" s="6">
        <f t="shared" si="8"/>
        <v>120</v>
      </c>
      <c r="J537" t="str" cm="1">
        <f t="array" ref="J537">_xlfn.IFS(
AND(I537&gt;=89,I537&lt;=92),"D-90",
AND(I537&gt;=58,I537&lt;=62),"D-60",
AND(I537&gt;=28,I537&lt;=32),"D-30",
AND(I537=0),"당월",
TRUE,"그외")</f>
        <v>그외</v>
      </c>
    </row>
    <row r="538" spans="1:10" ht="17.649999999999999" customHeight="1" x14ac:dyDescent="0.3">
      <c r="A538" s="4">
        <v>45778</v>
      </c>
      <c r="B538" s="5" t="s">
        <v>8</v>
      </c>
      <c r="C538" s="4">
        <v>45689</v>
      </c>
      <c r="D538" s="5" t="s">
        <v>9</v>
      </c>
      <c r="E538" s="6">
        <v>527</v>
      </c>
      <c r="F538" s="6">
        <v>142912.14421252371</v>
      </c>
      <c r="G538" s="6">
        <v>75314700</v>
      </c>
      <c r="H538" s="6">
        <v>16916700</v>
      </c>
      <c r="I538" s="6">
        <f t="shared" si="8"/>
        <v>89</v>
      </c>
      <c r="J538" t="str" cm="1">
        <f t="array" ref="J538">_xlfn.IFS(
AND(I538&gt;=89,I538&lt;=92),"D-90",
AND(I538&gt;=58,I538&lt;=62),"D-60",
AND(I538&gt;=28,I538&lt;=32),"D-30",
AND(I538=0),"당월",
TRUE,"그외")</f>
        <v>D-90</v>
      </c>
    </row>
    <row r="539" spans="1:10" ht="17.649999999999999" customHeight="1" x14ac:dyDescent="0.3">
      <c r="A539" s="4">
        <v>45778</v>
      </c>
      <c r="B539" s="5" t="s">
        <v>8</v>
      </c>
      <c r="C539" s="4">
        <v>45689</v>
      </c>
      <c r="D539" s="5" t="s">
        <v>10</v>
      </c>
      <c r="E539" s="6">
        <v>939</v>
      </c>
      <c r="F539" s="6">
        <v>212679.93716719921</v>
      </c>
      <c r="G539" s="6">
        <v>199706461</v>
      </c>
      <c r="H539" s="6">
        <v>29737901</v>
      </c>
      <c r="I539" s="6">
        <f t="shared" si="8"/>
        <v>89</v>
      </c>
      <c r="J539" t="str" cm="1">
        <f t="array" ref="J539">_xlfn.IFS(
AND(I539&gt;=89,I539&lt;=92),"D-90",
AND(I539&gt;=58,I539&lt;=62),"D-60",
AND(I539&gt;=28,I539&lt;=32),"D-30",
AND(I539=0),"당월",
TRUE,"그외")</f>
        <v>D-90</v>
      </c>
    </row>
    <row r="540" spans="1:10" ht="17.649999999999999" customHeight="1" x14ac:dyDescent="0.3">
      <c r="A540" s="4">
        <v>45778</v>
      </c>
      <c r="B540" s="5" t="s">
        <v>8</v>
      </c>
      <c r="C540" s="4">
        <v>45717</v>
      </c>
      <c r="D540" s="5" t="s">
        <v>9</v>
      </c>
      <c r="E540" s="6">
        <v>119</v>
      </c>
      <c r="F540" s="6">
        <v>136717.6470588235</v>
      </c>
      <c r="G540" s="6">
        <v>16269400</v>
      </c>
      <c r="H540" s="6">
        <v>4474400</v>
      </c>
      <c r="I540" s="6">
        <f t="shared" si="8"/>
        <v>61</v>
      </c>
      <c r="J540" t="str" cm="1">
        <f t="array" ref="J540">_xlfn.IFS(
AND(I540&gt;=89,I540&lt;=92),"D-90",
AND(I540&gt;=58,I540&lt;=62),"D-60",
AND(I540&gt;=28,I540&lt;=32),"D-30",
AND(I540=0),"당월",
TRUE,"그외")</f>
        <v>D-60</v>
      </c>
    </row>
    <row r="541" spans="1:10" ht="17.649999999999999" customHeight="1" x14ac:dyDescent="0.3">
      <c r="A541" s="4">
        <v>45778</v>
      </c>
      <c r="B541" s="5" t="s">
        <v>8</v>
      </c>
      <c r="C541" s="4">
        <v>45717</v>
      </c>
      <c r="D541" s="5" t="s">
        <v>10</v>
      </c>
      <c r="E541" s="6">
        <v>1041</v>
      </c>
      <c r="F541" s="6">
        <v>207039.8338136407</v>
      </c>
      <c r="G541" s="6">
        <v>215528467</v>
      </c>
      <c r="H541" s="6">
        <v>39040423</v>
      </c>
      <c r="I541" s="6">
        <f t="shared" si="8"/>
        <v>61</v>
      </c>
      <c r="J541" t="str" cm="1">
        <f t="array" ref="J541">_xlfn.IFS(
AND(I541&gt;=89,I541&lt;=92),"D-90",
AND(I541&gt;=58,I541&lt;=62),"D-60",
AND(I541&gt;=28,I541&lt;=32),"D-30",
AND(I541=0),"당월",
TRUE,"그외")</f>
        <v>D-60</v>
      </c>
    </row>
    <row r="542" spans="1:10" ht="17.649999999999999" customHeight="1" x14ac:dyDescent="0.3">
      <c r="A542" s="4">
        <v>45778</v>
      </c>
      <c r="B542" s="5" t="s">
        <v>8</v>
      </c>
      <c r="C542" s="4">
        <v>45748</v>
      </c>
      <c r="D542" s="5" t="s">
        <v>9</v>
      </c>
      <c r="E542" s="6">
        <v>2327</v>
      </c>
      <c r="F542" s="6">
        <v>112409.3682853459</v>
      </c>
      <c r="G542" s="6">
        <v>261576600</v>
      </c>
      <c r="H542" s="6">
        <v>64002600</v>
      </c>
      <c r="I542" s="6">
        <f t="shared" si="8"/>
        <v>30</v>
      </c>
      <c r="J542" t="str" cm="1">
        <f t="array" ref="J542">_xlfn.IFS(
AND(I542&gt;=89,I542&lt;=92),"D-90",
AND(I542&gt;=58,I542&lt;=62),"D-60",
AND(I542&gt;=28,I542&lt;=32),"D-30",
AND(I542=0),"당월",
TRUE,"그외")</f>
        <v>D-30</v>
      </c>
    </row>
    <row r="543" spans="1:10" ht="17.649999999999999" customHeight="1" x14ac:dyDescent="0.3">
      <c r="A543" s="4">
        <v>45778</v>
      </c>
      <c r="B543" s="5" t="s">
        <v>8</v>
      </c>
      <c r="C543" s="4">
        <v>45748</v>
      </c>
      <c r="D543" s="5" t="s">
        <v>10</v>
      </c>
      <c r="E543" s="6">
        <v>2033</v>
      </c>
      <c r="F543" s="6">
        <v>159342.48794884409</v>
      </c>
      <c r="G543" s="6">
        <v>323943278</v>
      </c>
      <c r="H543" s="6">
        <v>58634575</v>
      </c>
      <c r="I543" s="6">
        <f t="shared" si="8"/>
        <v>30</v>
      </c>
      <c r="J543" t="str" cm="1">
        <f t="array" ref="J543">_xlfn.IFS(
AND(I543&gt;=89,I543&lt;=92),"D-90",
AND(I543&gt;=58,I543&lt;=62),"D-60",
AND(I543&gt;=28,I543&lt;=32),"D-30",
AND(I543=0),"당월",
TRUE,"그외")</f>
        <v>D-30</v>
      </c>
    </row>
    <row r="544" spans="1:10" ht="17.649999999999999" customHeight="1" x14ac:dyDescent="0.3">
      <c r="A544" s="4">
        <v>45778</v>
      </c>
      <c r="B544" s="5" t="s">
        <v>8</v>
      </c>
      <c r="C544" s="4">
        <v>45778</v>
      </c>
      <c r="D544" s="5" t="s">
        <v>9</v>
      </c>
      <c r="E544" s="6">
        <v>1421</v>
      </c>
      <c r="F544" s="6">
        <v>80133.216045038702</v>
      </c>
      <c r="G544" s="6">
        <v>113869300</v>
      </c>
      <c r="H544" s="6">
        <v>31142300</v>
      </c>
      <c r="I544" s="6">
        <f t="shared" si="8"/>
        <v>0</v>
      </c>
      <c r="J544" t="str" cm="1">
        <f t="array" ref="J544">_xlfn.IFS(
AND(I544&gt;=89,I544&lt;=92),"D-90",
AND(I544&gt;=58,I544&lt;=62),"D-60",
AND(I544&gt;=28,I544&lt;=32),"D-30",
AND(I544=0),"당월",
TRUE,"그외")</f>
        <v>당월</v>
      </c>
    </row>
    <row r="545" spans="1:10" ht="17.649999999999999" customHeight="1" x14ac:dyDescent="0.3">
      <c r="A545" s="4">
        <v>45778</v>
      </c>
      <c r="B545" s="5" t="s">
        <v>8</v>
      </c>
      <c r="C545" s="4">
        <v>45778</v>
      </c>
      <c r="D545" s="5" t="s">
        <v>10</v>
      </c>
      <c r="E545" s="6">
        <v>1265</v>
      </c>
      <c r="F545" s="6">
        <v>115062.33517786561</v>
      </c>
      <c r="G545" s="6">
        <v>145553854</v>
      </c>
      <c r="H545" s="6">
        <v>29234160</v>
      </c>
      <c r="I545" s="6">
        <f t="shared" si="8"/>
        <v>0</v>
      </c>
      <c r="J545" t="str" cm="1">
        <f t="array" ref="J545">_xlfn.IFS(
AND(I545&gt;=89,I545&lt;=92),"D-90",
AND(I545&gt;=58,I545&lt;=62),"D-60",
AND(I545&gt;=28,I545&lt;=32),"D-30",
AND(I545=0),"당월",
TRUE,"그외")</f>
        <v>당월</v>
      </c>
    </row>
    <row r="546" spans="1:10" ht="17.649999999999999" customHeight="1" x14ac:dyDescent="0.3">
      <c r="A546" s="4">
        <v>45778</v>
      </c>
      <c r="B546" s="5" t="s">
        <v>11</v>
      </c>
      <c r="C546" s="4">
        <v>45717</v>
      </c>
      <c r="D546" s="5" t="s">
        <v>9</v>
      </c>
      <c r="E546" s="6">
        <v>457</v>
      </c>
      <c r="F546" s="6">
        <v>294057.33041575493</v>
      </c>
      <c r="G546" s="6">
        <v>134384200</v>
      </c>
      <c r="H546" s="6">
        <v>15621200</v>
      </c>
      <c r="I546" s="6">
        <f t="shared" si="8"/>
        <v>61</v>
      </c>
      <c r="J546" t="str" cm="1">
        <f t="array" ref="J546">_xlfn.IFS(
AND(I546&gt;=89,I546&lt;=92),"D-90",
AND(I546&gt;=58,I546&lt;=62),"D-60",
AND(I546&gt;=28,I546&lt;=32),"D-30",
AND(I546=0),"당월",
TRUE,"그외")</f>
        <v>D-60</v>
      </c>
    </row>
    <row r="547" spans="1:10" ht="17.649999999999999" customHeight="1" x14ac:dyDescent="0.3">
      <c r="A547" s="4">
        <v>45778</v>
      </c>
      <c r="B547" s="5" t="s">
        <v>11</v>
      </c>
      <c r="C547" s="4">
        <v>45717</v>
      </c>
      <c r="D547" s="5" t="s">
        <v>10</v>
      </c>
      <c r="E547" s="6">
        <v>2351</v>
      </c>
      <c r="F547" s="6">
        <v>215791.34155678429</v>
      </c>
      <c r="G547" s="6">
        <v>507325444</v>
      </c>
      <c r="H547" s="6">
        <v>81099188</v>
      </c>
      <c r="I547" s="6">
        <f t="shared" si="8"/>
        <v>61</v>
      </c>
      <c r="J547" t="str" cm="1">
        <f t="array" ref="J547">_xlfn.IFS(
AND(I547&gt;=89,I547&lt;=92),"D-90",
AND(I547&gt;=58,I547&lt;=62),"D-60",
AND(I547&gt;=28,I547&lt;=32),"D-30",
AND(I547=0),"당월",
TRUE,"그외")</f>
        <v>D-60</v>
      </c>
    </row>
    <row r="548" spans="1:10" ht="17.649999999999999" customHeight="1" x14ac:dyDescent="0.3">
      <c r="A548" s="4">
        <v>45778</v>
      </c>
      <c r="B548" s="5" t="s">
        <v>11</v>
      </c>
      <c r="C548" s="4">
        <v>45748</v>
      </c>
      <c r="D548" s="5" t="s">
        <v>9</v>
      </c>
      <c r="E548" s="6">
        <v>1157</v>
      </c>
      <c r="F548" s="6">
        <v>148462.40276577359</v>
      </c>
      <c r="G548" s="6">
        <v>171771000</v>
      </c>
      <c r="H548" s="6">
        <v>31868000</v>
      </c>
      <c r="I548" s="6">
        <f t="shared" si="8"/>
        <v>30</v>
      </c>
      <c r="J548" t="str" cm="1">
        <f t="array" ref="J548">_xlfn.IFS(
AND(I548&gt;=89,I548&lt;=92),"D-90",
AND(I548&gt;=58,I548&lt;=62),"D-60",
AND(I548&gt;=28,I548&lt;=32),"D-30",
AND(I548=0),"당월",
TRUE,"그외")</f>
        <v>D-30</v>
      </c>
    </row>
    <row r="549" spans="1:10" ht="17.649999999999999" customHeight="1" x14ac:dyDescent="0.3">
      <c r="A549" s="4">
        <v>45778</v>
      </c>
      <c r="B549" s="5" t="s">
        <v>11</v>
      </c>
      <c r="C549" s="4">
        <v>45748</v>
      </c>
      <c r="D549" s="5" t="s">
        <v>10</v>
      </c>
      <c r="E549" s="6">
        <v>2581</v>
      </c>
      <c r="F549" s="6">
        <v>161253.43432777989</v>
      </c>
      <c r="G549" s="6">
        <v>416195114</v>
      </c>
      <c r="H549" s="6">
        <v>72521570</v>
      </c>
      <c r="I549" s="6">
        <f t="shared" si="8"/>
        <v>30</v>
      </c>
      <c r="J549" t="str" cm="1">
        <f t="array" ref="J549">_xlfn.IFS(
AND(I549&gt;=89,I549&lt;=92),"D-90",
AND(I549&gt;=58,I549&lt;=62),"D-60",
AND(I549&gt;=28,I549&lt;=32),"D-30",
AND(I549=0),"당월",
TRUE,"그외")</f>
        <v>D-30</v>
      </c>
    </row>
    <row r="550" spans="1:10" ht="17.649999999999999" customHeight="1" x14ac:dyDescent="0.3">
      <c r="A550" s="4">
        <v>45778</v>
      </c>
      <c r="B550" s="5" t="s">
        <v>11</v>
      </c>
      <c r="C550" s="4">
        <v>45778</v>
      </c>
      <c r="D550" s="5" t="s">
        <v>9</v>
      </c>
      <c r="E550" s="6">
        <v>551</v>
      </c>
      <c r="F550" s="6">
        <v>108496.00725952809</v>
      </c>
      <c r="G550" s="6">
        <v>59781300</v>
      </c>
      <c r="H550" s="6">
        <v>12143300</v>
      </c>
      <c r="I550" s="6">
        <f t="shared" si="8"/>
        <v>0</v>
      </c>
      <c r="J550" t="str" cm="1">
        <f t="array" ref="J550">_xlfn.IFS(
AND(I550&gt;=89,I550&lt;=92),"D-90",
AND(I550&gt;=58,I550&lt;=62),"D-60",
AND(I550&gt;=28,I550&lt;=32),"D-30",
AND(I550=0),"당월",
TRUE,"그외")</f>
        <v>당월</v>
      </c>
    </row>
    <row r="551" spans="1:10" ht="17.649999999999999" customHeight="1" x14ac:dyDescent="0.3">
      <c r="A551" s="4">
        <v>45778</v>
      </c>
      <c r="B551" s="5" t="s">
        <v>11</v>
      </c>
      <c r="C551" s="4">
        <v>45778</v>
      </c>
      <c r="D551" s="5" t="s">
        <v>10</v>
      </c>
      <c r="E551" s="6">
        <v>1864</v>
      </c>
      <c r="F551" s="6">
        <v>131727.38948497851</v>
      </c>
      <c r="G551" s="6">
        <v>245539854</v>
      </c>
      <c r="H551" s="6">
        <v>45913842</v>
      </c>
      <c r="I551" s="6">
        <f t="shared" si="8"/>
        <v>0</v>
      </c>
      <c r="J551" t="str" cm="1">
        <f t="array" ref="J551">_xlfn.IFS(
AND(I551&gt;=89,I551&lt;=92),"D-90",
AND(I551&gt;=58,I551&lt;=62),"D-60",
AND(I551&gt;=28,I551&lt;=32),"D-30",
AND(I551=0),"당월",
TRUE,"그외")</f>
        <v>당월</v>
      </c>
    </row>
    <row r="552" spans="1:10" ht="17.649999999999999" customHeight="1" x14ac:dyDescent="0.3">
      <c r="A552" s="4">
        <v>45778</v>
      </c>
      <c r="B552" s="5" t="s">
        <v>12</v>
      </c>
      <c r="C552" s="4">
        <v>45717</v>
      </c>
      <c r="D552" s="5" t="s">
        <v>9</v>
      </c>
      <c r="E552" s="6">
        <v>349</v>
      </c>
      <c r="F552" s="6">
        <v>265091.4040114613</v>
      </c>
      <c r="G552" s="6">
        <v>92516900</v>
      </c>
      <c r="H552" s="6">
        <v>12049900</v>
      </c>
      <c r="I552" s="6">
        <f t="shared" si="8"/>
        <v>61</v>
      </c>
      <c r="J552" t="str" cm="1">
        <f t="array" ref="J552">_xlfn.IFS(
AND(I552&gt;=89,I552&lt;=92),"D-90",
AND(I552&gt;=58,I552&lt;=62),"D-60",
AND(I552&gt;=28,I552&lt;=32),"D-30",
AND(I552=0),"당월",
TRUE,"그외")</f>
        <v>D-60</v>
      </c>
    </row>
    <row r="553" spans="1:10" ht="17.649999999999999" customHeight="1" x14ac:dyDescent="0.3">
      <c r="A553" s="4">
        <v>45778</v>
      </c>
      <c r="B553" s="5" t="s">
        <v>12</v>
      </c>
      <c r="C553" s="4">
        <v>45717</v>
      </c>
      <c r="D553" s="5" t="s">
        <v>10</v>
      </c>
      <c r="E553" s="6">
        <v>586</v>
      </c>
      <c r="F553" s="6">
        <v>211551.13993174059</v>
      </c>
      <c r="G553" s="6">
        <v>123968968</v>
      </c>
      <c r="H553" s="6">
        <v>21479612</v>
      </c>
      <c r="I553" s="6">
        <f t="shared" si="8"/>
        <v>61</v>
      </c>
      <c r="J553" t="str" cm="1">
        <f t="array" ref="J553">_xlfn.IFS(
AND(I553&gt;=89,I553&lt;=92),"D-90",
AND(I553&gt;=58,I553&lt;=62),"D-60",
AND(I553&gt;=28,I553&lt;=32),"D-30",
AND(I553=0),"당월",
TRUE,"그외")</f>
        <v>D-60</v>
      </c>
    </row>
    <row r="554" spans="1:10" ht="17.649999999999999" customHeight="1" x14ac:dyDescent="0.3">
      <c r="A554" s="4">
        <v>45778</v>
      </c>
      <c r="B554" s="5" t="s">
        <v>12</v>
      </c>
      <c r="C554" s="4">
        <v>45748</v>
      </c>
      <c r="D554" s="5" t="s">
        <v>9</v>
      </c>
      <c r="E554" s="6">
        <v>409</v>
      </c>
      <c r="F554" s="6">
        <v>167957.2127139364</v>
      </c>
      <c r="G554" s="6">
        <v>68694500</v>
      </c>
      <c r="H554" s="6">
        <v>11752500</v>
      </c>
      <c r="I554" s="6">
        <f t="shared" si="8"/>
        <v>30</v>
      </c>
      <c r="J554" t="str" cm="1">
        <f t="array" ref="J554">_xlfn.IFS(
AND(I554&gt;=89,I554&lt;=92),"D-90",
AND(I554&gt;=58,I554&lt;=62),"D-60",
AND(I554&gt;=28,I554&lt;=32),"D-30",
AND(I554=0),"당월",
TRUE,"그외")</f>
        <v>D-30</v>
      </c>
    </row>
    <row r="555" spans="1:10" ht="17.649999999999999" customHeight="1" x14ac:dyDescent="0.3">
      <c r="A555" s="4">
        <v>45778</v>
      </c>
      <c r="B555" s="5" t="s">
        <v>12</v>
      </c>
      <c r="C555" s="4">
        <v>45748</v>
      </c>
      <c r="D555" s="5" t="s">
        <v>10</v>
      </c>
      <c r="E555" s="6">
        <v>1666</v>
      </c>
      <c r="F555" s="6">
        <v>127644.26770708281</v>
      </c>
      <c r="G555" s="6">
        <v>212655350</v>
      </c>
      <c r="H555" s="6">
        <v>48414340</v>
      </c>
      <c r="I555" s="6">
        <f t="shared" si="8"/>
        <v>30</v>
      </c>
      <c r="J555" t="str" cm="1">
        <f t="array" ref="J555">_xlfn.IFS(
AND(I555&gt;=89,I555&lt;=92),"D-90",
AND(I555&gt;=58,I555&lt;=62),"D-60",
AND(I555&gt;=28,I555&lt;=32),"D-30",
AND(I555=0),"당월",
TRUE,"그외")</f>
        <v>D-30</v>
      </c>
    </row>
    <row r="556" spans="1:10" ht="17.649999999999999" customHeight="1" x14ac:dyDescent="0.3">
      <c r="A556" s="4">
        <v>45778</v>
      </c>
      <c r="B556" s="5" t="s">
        <v>12</v>
      </c>
      <c r="C556" s="4">
        <v>45778</v>
      </c>
      <c r="D556" s="5" t="s">
        <v>9</v>
      </c>
      <c r="E556" s="6">
        <v>1162</v>
      </c>
      <c r="F556" s="6">
        <v>105490.70567986229</v>
      </c>
      <c r="G556" s="6">
        <v>122580200</v>
      </c>
      <c r="H556" s="6">
        <v>25479200</v>
      </c>
      <c r="I556" s="6">
        <f t="shared" si="8"/>
        <v>0</v>
      </c>
      <c r="J556" t="str" cm="1">
        <f t="array" ref="J556">_xlfn.IFS(
AND(I556&gt;=89,I556&lt;=92),"D-90",
AND(I556&gt;=58,I556&lt;=62),"D-60",
AND(I556&gt;=28,I556&lt;=32),"D-30",
AND(I556=0),"당월",
TRUE,"그외")</f>
        <v>당월</v>
      </c>
    </row>
    <row r="557" spans="1:10" ht="17.649999999999999" customHeight="1" x14ac:dyDescent="0.3">
      <c r="A557" s="4">
        <v>45778</v>
      </c>
      <c r="B557" s="5" t="s">
        <v>12</v>
      </c>
      <c r="C557" s="4">
        <v>45778</v>
      </c>
      <c r="D557" s="5" t="s">
        <v>10</v>
      </c>
      <c r="E557" s="6">
        <v>1115</v>
      </c>
      <c r="F557" s="6">
        <v>109334.55515695069</v>
      </c>
      <c r="G557" s="6">
        <v>121908029</v>
      </c>
      <c r="H557" s="6">
        <v>27781789</v>
      </c>
      <c r="I557" s="6">
        <f t="shared" si="8"/>
        <v>0</v>
      </c>
      <c r="J557" t="str" cm="1">
        <f t="array" ref="J557">_xlfn.IFS(
AND(I557&gt;=89,I557&lt;=92),"D-90",
AND(I557&gt;=58,I557&lt;=62),"D-60",
AND(I557&gt;=28,I557&lt;=32),"D-30",
AND(I557=0),"당월",
TRUE,"그외")</f>
        <v>당월</v>
      </c>
    </row>
    <row r="558" spans="1:10" ht="17.649999999999999" customHeight="1" x14ac:dyDescent="0.3">
      <c r="A558" s="4">
        <v>45778</v>
      </c>
      <c r="B558" s="5" t="s">
        <v>13</v>
      </c>
      <c r="C558" s="4">
        <v>45717</v>
      </c>
      <c r="D558" s="5" t="s">
        <v>9</v>
      </c>
      <c r="E558" s="6">
        <v>332</v>
      </c>
      <c r="F558" s="6">
        <v>333363.55421686749</v>
      </c>
      <c r="G558" s="6">
        <v>110676700</v>
      </c>
      <c r="H558" s="6">
        <v>10937700</v>
      </c>
      <c r="I558" s="6">
        <f t="shared" si="8"/>
        <v>61</v>
      </c>
      <c r="J558" t="str" cm="1">
        <f t="array" ref="J558">_xlfn.IFS(
AND(I558&gt;=89,I558&lt;=92),"D-90",
AND(I558&gt;=58,I558&lt;=62),"D-60",
AND(I558&gt;=28,I558&lt;=32),"D-30",
AND(I558=0),"당월",
TRUE,"그외")</f>
        <v>D-60</v>
      </c>
    </row>
    <row r="559" spans="1:10" ht="17.649999999999999" customHeight="1" x14ac:dyDescent="0.3">
      <c r="A559" s="4">
        <v>45778</v>
      </c>
      <c r="B559" s="5" t="s">
        <v>13</v>
      </c>
      <c r="C559" s="4">
        <v>45717</v>
      </c>
      <c r="D559" s="5" t="s">
        <v>10</v>
      </c>
      <c r="E559" s="6">
        <v>493</v>
      </c>
      <c r="F559" s="6">
        <v>304279.65720081137</v>
      </c>
      <c r="G559" s="6">
        <v>150009871</v>
      </c>
      <c r="H559" s="6">
        <v>17337160</v>
      </c>
      <c r="I559" s="6">
        <f t="shared" si="8"/>
        <v>61</v>
      </c>
      <c r="J559" t="str" cm="1">
        <f t="array" ref="J559">_xlfn.IFS(
AND(I559&gt;=89,I559&lt;=92),"D-90",
AND(I559&gt;=58,I559&lt;=62),"D-60",
AND(I559&gt;=28,I559&lt;=32),"D-30",
AND(I559=0),"당월",
TRUE,"그외")</f>
        <v>D-60</v>
      </c>
    </row>
    <row r="560" spans="1:10" ht="17.649999999999999" customHeight="1" x14ac:dyDescent="0.3">
      <c r="A560" s="4">
        <v>45778</v>
      </c>
      <c r="B560" s="5" t="s">
        <v>13</v>
      </c>
      <c r="C560" s="4">
        <v>45748</v>
      </c>
      <c r="D560" s="5" t="s">
        <v>9</v>
      </c>
      <c r="E560" s="6">
        <v>266</v>
      </c>
      <c r="F560" s="6">
        <v>182354.13533834589</v>
      </c>
      <c r="G560" s="6">
        <v>48506200</v>
      </c>
      <c r="H560" s="6">
        <v>7481200</v>
      </c>
      <c r="I560" s="6">
        <f t="shared" si="8"/>
        <v>30</v>
      </c>
      <c r="J560" t="str" cm="1">
        <f t="array" ref="J560">_xlfn.IFS(
AND(I560&gt;=89,I560&lt;=92),"D-90",
AND(I560&gt;=58,I560&lt;=62),"D-60",
AND(I560&gt;=28,I560&lt;=32),"D-30",
AND(I560=0),"당월",
TRUE,"그외")</f>
        <v>D-30</v>
      </c>
    </row>
    <row r="561" spans="1:10" ht="17.649999999999999" customHeight="1" x14ac:dyDescent="0.3">
      <c r="A561" s="4">
        <v>45778</v>
      </c>
      <c r="B561" s="5" t="s">
        <v>13</v>
      </c>
      <c r="C561" s="4">
        <v>45748</v>
      </c>
      <c r="D561" s="5" t="s">
        <v>10</v>
      </c>
      <c r="E561" s="6">
        <v>623</v>
      </c>
      <c r="F561" s="6">
        <v>245645.54253611559</v>
      </c>
      <c r="G561" s="6">
        <v>153037173</v>
      </c>
      <c r="H561" s="6">
        <v>18210963</v>
      </c>
      <c r="I561" s="6">
        <f t="shared" si="8"/>
        <v>30</v>
      </c>
      <c r="J561" t="str" cm="1">
        <f t="array" ref="J561">_xlfn.IFS(
AND(I561&gt;=89,I561&lt;=92),"D-90",
AND(I561&gt;=58,I561&lt;=62),"D-60",
AND(I561&gt;=28,I561&lt;=32),"D-30",
AND(I561=0),"당월",
TRUE,"그외")</f>
        <v>D-30</v>
      </c>
    </row>
    <row r="562" spans="1:10" ht="17.649999999999999" customHeight="1" x14ac:dyDescent="0.3">
      <c r="A562" s="4">
        <v>45778</v>
      </c>
      <c r="B562" s="5" t="s">
        <v>13</v>
      </c>
      <c r="C562" s="4">
        <v>45778</v>
      </c>
      <c r="D562" s="5" t="s">
        <v>10</v>
      </c>
      <c r="E562" s="6">
        <v>25</v>
      </c>
      <c r="F562" s="6">
        <v>253485.44</v>
      </c>
      <c r="G562" s="6">
        <v>6337136</v>
      </c>
      <c r="H562" s="6">
        <v>621421</v>
      </c>
      <c r="I562" s="6">
        <f t="shared" si="8"/>
        <v>0</v>
      </c>
      <c r="J562" t="str" cm="1">
        <f t="array" ref="J562">_xlfn.IFS(
AND(I562&gt;=89,I562&lt;=92),"D-90",
AND(I562&gt;=58,I562&lt;=62),"D-60",
AND(I562&gt;=28,I562&lt;=32),"D-30",
AND(I562=0),"당월",
TRUE,"그외")</f>
        <v>당월</v>
      </c>
    </row>
    <row r="563" spans="1:10" ht="17.649999999999999" customHeight="1" x14ac:dyDescent="0.3">
      <c r="A563" s="4">
        <v>45809</v>
      </c>
      <c r="B563" s="5" t="s">
        <v>8</v>
      </c>
      <c r="C563" s="4">
        <v>45658</v>
      </c>
      <c r="D563" s="5" t="s">
        <v>10</v>
      </c>
      <c r="E563" s="6">
        <v>269</v>
      </c>
      <c r="F563" s="6">
        <v>171499.34572490709</v>
      </c>
      <c r="G563" s="6">
        <v>46133324</v>
      </c>
      <c r="H563" s="6">
        <v>8382013</v>
      </c>
      <c r="I563" s="6">
        <f t="shared" si="8"/>
        <v>151</v>
      </c>
      <c r="J563" t="str" cm="1">
        <f t="array" ref="J563">_xlfn.IFS(
AND(I563&gt;=89,I563&lt;=92),"D-90",
AND(I563&gt;=58,I563&lt;=62),"D-60",
AND(I563&gt;=28,I563&lt;=32),"D-30",
AND(I563=0),"당월",
TRUE,"그외")</f>
        <v>그외</v>
      </c>
    </row>
    <row r="564" spans="1:10" ht="17.649999999999999" customHeight="1" x14ac:dyDescent="0.3">
      <c r="A564" s="4">
        <v>45809</v>
      </c>
      <c r="B564" s="5" t="s">
        <v>8</v>
      </c>
      <c r="C564" s="4">
        <v>45689</v>
      </c>
      <c r="D564" s="5" t="s">
        <v>9</v>
      </c>
      <c r="E564" s="6">
        <v>130</v>
      </c>
      <c r="F564" s="6">
        <v>134038.4615384615</v>
      </c>
      <c r="G564" s="6">
        <v>17425000</v>
      </c>
      <c r="H564" s="6">
        <v>4173000</v>
      </c>
      <c r="I564" s="6">
        <f t="shared" si="8"/>
        <v>120</v>
      </c>
      <c r="J564" t="str" cm="1">
        <f t="array" ref="J564">_xlfn.IFS(
AND(I564&gt;=89,I564&lt;=92),"D-90",
AND(I564&gt;=58,I564&lt;=62),"D-60",
AND(I564&gt;=28,I564&lt;=32),"D-30",
AND(I564=0),"당월",
TRUE,"그외")</f>
        <v>그외</v>
      </c>
    </row>
    <row r="565" spans="1:10" ht="17.649999999999999" customHeight="1" x14ac:dyDescent="0.3">
      <c r="A565" s="4">
        <v>45809</v>
      </c>
      <c r="B565" s="5" t="s">
        <v>8</v>
      </c>
      <c r="C565" s="4">
        <v>45689</v>
      </c>
      <c r="D565" s="5" t="s">
        <v>10</v>
      </c>
      <c r="E565" s="6">
        <v>536</v>
      </c>
      <c r="F565" s="6">
        <v>199844.6473880597</v>
      </c>
      <c r="G565" s="6">
        <v>107116731</v>
      </c>
      <c r="H565" s="6">
        <v>17477726</v>
      </c>
      <c r="I565" s="6">
        <f t="shared" si="8"/>
        <v>120</v>
      </c>
      <c r="J565" t="str" cm="1">
        <f t="array" ref="J565">_xlfn.IFS(
AND(I565&gt;=89,I565&lt;=92),"D-90",
AND(I565&gt;=58,I565&lt;=62),"D-60",
AND(I565&gt;=28,I565&lt;=32),"D-30",
AND(I565=0),"당월",
TRUE,"그외")</f>
        <v>그외</v>
      </c>
    </row>
    <row r="566" spans="1:10" ht="17.649999999999999" customHeight="1" x14ac:dyDescent="0.3">
      <c r="A566" s="4">
        <v>45809</v>
      </c>
      <c r="B566" s="5" t="s">
        <v>8</v>
      </c>
      <c r="C566" s="4">
        <v>45717</v>
      </c>
      <c r="D566" s="5" t="s">
        <v>9</v>
      </c>
      <c r="E566" s="6">
        <v>36</v>
      </c>
      <c r="F566" s="6">
        <v>148211.11111111109</v>
      </c>
      <c r="G566" s="6">
        <v>5335600</v>
      </c>
      <c r="H566" s="6">
        <v>1353600</v>
      </c>
      <c r="I566" s="6">
        <f t="shared" si="8"/>
        <v>92</v>
      </c>
      <c r="J566" t="str" cm="1">
        <f t="array" ref="J566">_xlfn.IFS(
AND(I566&gt;=89,I566&lt;=92),"D-90",
AND(I566&gt;=58,I566&lt;=62),"D-60",
AND(I566&gt;=28,I566&lt;=32),"D-30",
AND(I566=0),"당월",
TRUE,"그외")</f>
        <v>D-90</v>
      </c>
    </row>
    <row r="567" spans="1:10" ht="17.649999999999999" customHeight="1" x14ac:dyDescent="0.3">
      <c r="A567" s="4">
        <v>45809</v>
      </c>
      <c r="B567" s="5" t="s">
        <v>8</v>
      </c>
      <c r="C567" s="4">
        <v>45717</v>
      </c>
      <c r="D567" s="5" t="s">
        <v>10</v>
      </c>
      <c r="E567" s="6">
        <v>195</v>
      </c>
      <c r="F567" s="6">
        <v>182459.8769230769</v>
      </c>
      <c r="G567" s="6">
        <v>35579676</v>
      </c>
      <c r="H567" s="6">
        <v>7372453</v>
      </c>
      <c r="I567" s="6">
        <f t="shared" si="8"/>
        <v>92</v>
      </c>
      <c r="J567" t="str" cm="1">
        <f t="array" ref="J567">_xlfn.IFS(
AND(I567&gt;=89,I567&lt;=92),"D-90",
AND(I567&gt;=58,I567&lt;=62),"D-60",
AND(I567&gt;=28,I567&lt;=32),"D-30",
AND(I567=0),"당월",
TRUE,"그외")</f>
        <v>D-90</v>
      </c>
    </row>
    <row r="568" spans="1:10" ht="17.649999999999999" customHeight="1" x14ac:dyDescent="0.3">
      <c r="A568" s="4">
        <v>45809</v>
      </c>
      <c r="B568" s="5" t="s">
        <v>8</v>
      </c>
      <c r="C568" s="4">
        <v>45748</v>
      </c>
      <c r="D568" s="5" t="s">
        <v>9</v>
      </c>
      <c r="E568" s="6">
        <v>838</v>
      </c>
      <c r="F568" s="6">
        <v>111998.8066825776</v>
      </c>
      <c r="G568" s="6">
        <v>93855000</v>
      </c>
      <c r="H568" s="6">
        <v>23045000</v>
      </c>
      <c r="I568" s="6">
        <f t="shared" si="8"/>
        <v>61</v>
      </c>
      <c r="J568" t="str" cm="1">
        <f t="array" ref="J568">_xlfn.IFS(
AND(I568&gt;=89,I568&lt;=92),"D-90",
AND(I568&gt;=58,I568&lt;=62),"D-60",
AND(I568&gt;=28,I568&lt;=32),"D-30",
AND(I568=0),"당월",
TRUE,"그외")</f>
        <v>D-60</v>
      </c>
    </row>
    <row r="569" spans="1:10" ht="17.649999999999999" customHeight="1" x14ac:dyDescent="0.3">
      <c r="A569" s="4">
        <v>45809</v>
      </c>
      <c r="B569" s="5" t="s">
        <v>8</v>
      </c>
      <c r="C569" s="4">
        <v>45748</v>
      </c>
      <c r="D569" s="5" t="s">
        <v>10</v>
      </c>
      <c r="E569" s="6">
        <v>704</v>
      </c>
      <c r="F569" s="6">
        <v>159698.40198863641</v>
      </c>
      <c r="G569" s="6">
        <v>112427675</v>
      </c>
      <c r="H569" s="6">
        <v>19782792</v>
      </c>
      <c r="I569" s="6">
        <f t="shared" si="8"/>
        <v>61</v>
      </c>
      <c r="J569" t="str" cm="1">
        <f t="array" ref="J569">_xlfn.IFS(
AND(I569&gt;=89,I569&lt;=92),"D-90",
AND(I569&gt;=58,I569&lt;=62),"D-60",
AND(I569&gt;=28,I569&lt;=32),"D-30",
AND(I569=0),"당월",
TRUE,"그외")</f>
        <v>D-60</v>
      </c>
    </row>
    <row r="570" spans="1:10" ht="17.649999999999999" customHeight="1" x14ac:dyDescent="0.3">
      <c r="A570" s="4">
        <v>45809</v>
      </c>
      <c r="B570" s="5" t="s">
        <v>8</v>
      </c>
      <c r="C570" s="4">
        <v>45778</v>
      </c>
      <c r="D570" s="5" t="s">
        <v>9</v>
      </c>
      <c r="E570" s="6">
        <v>834</v>
      </c>
      <c r="F570" s="6">
        <v>98035.731414868103</v>
      </c>
      <c r="G570" s="6">
        <v>81761800</v>
      </c>
      <c r="H570" s="6">
        <v>18327800</v>
      </c>
      <c r="I570" s="6">
        <f t="shared" si="8"/>
        <v>31</v>
      </c>
      <c r="J570" t="str" cm="1">
        <f t="array" ref="J570">_xlfn.IFS(
AND(I570&gt;=89,I570&lt;=92),"D-90",
AND(I570&gt;=58,I570&lt;=62),"D-60",
AND(I570&gt;=28,I570&lt;=32),"D-30",
AND(I570=0),"당월",
TRUE,"그외")</f>
        <v>D-30</v>
      </c>
    </row>
    <row r="571" spans="1:10" ht="17.649999999999999" customHeight="1" x14ac:dyDescent="0.3">
      <c r="A571" s="4">
        <v>45809</v>
      </c>
      <c r="B571" s="5" t="s">
        <v>8</v>
      </c>
      <c r="C571" s="4">
        <v>45778</v>
      </c>
      <c r="D571" s="5" t="s">
        <v>10</v>
      </c>
      <c r="E571" s="6">
        <v>1495</v>
      </c>
      <c r="F571" s="6">
        <v>151001.30969899669</v>
      </c>
      <c r="G571" s="6">
        <v>225746958</v>
      </c>
      <c r="H571" s="6">
        <v>35590869</v>
      </c>
      <c r="I571" s="6">
        <f t="shared" si="8"/>
        <v>31</v>
      </c>
      <c r="J571" t="str" cm="1">
        <f t="array" ref="J571">_xlfn.IFS(
AND(I571&gt;=89,I571&lt;=92),"D-90",
AND(I571&gt;=58,I571&lt;=62),"D-60",
AND(I571&gt;=28,I571&lt;=32),"D-30",
AND(I571=0),"당월",
TRUE,"그외")</f>
        <v>D-30</v>
      </c>
    </row>
    <row r="572" spans="1:10" ht="17.649999999999999" customHeight="1" x14ac:dyDescent="0.3">
      <c r="A572" s="4">
        <v>45809</v>
      </c>
      <c r="B572" s="5" t="s">
        <v>8</v>
      </c>
      <c r="C572" s="4">
        <v>45809</v>
      </c>
      <c r="D572" s="5" t="s">
        <v>9</v>
      </c>
      <c r="E572" s="6">
        <v>160</v>
      </c>
      <c r="F572" s="6">
        <v>73981.25</v>
      </c>
      <c r="G572" s="6">
        <v>11837000</v>
      </c>
      <c r="H572" s="6">
        <v>2741000</v>
      </c>
      <c r="I572" s="6">
        <f t="shared" si="8"/>
        <v>0</v>
      </c>
      <c r="J572" t="str" cm="1">
        <f t="array" ref="J572">_xlfn.IFS(
AND(I572&gt;=89,I572&lt;=92),"D-90",
AND(I572&gt;=58,I572&lt;=62),"D-60",
AND(I572&gt;=28,I572&lt;=32),"D-30",
AND(I572=0),"당월",
TRUE,"그외")</f>
        <v>당월</v>
      </c>
    </row>
    <row r="573" spans="1:10" ht="17.649999999999999" customHeight="1" x14ac:dyDescent="0.3">
      <c r="A573" s="4">
        <v>45809</v>
      </c>
      <c r="B573" s="5" t="s">
        <v>8</v>
      </c>
      <c r="C573" s="4">
        <v>45809</v>
      </c>
      <c r="D573" s="5" t="s">
        <v>10</v>
      </c>
      <c r="E573" s="6">
        <v>185</v>
      </c>
      <c r="F573" s="6">
        <v>159577.76756756759</v>
      </c>
      <c r="G573" s="6">
        <v>29521887</v>
      </c>
      <c r="H573" s="6">
        <v>3925729</v>
      </c>
      <c r="I573" s="6">
        <f t="shared" si="8"/>
        <v>0</v>
      </c>
      <c r="J573" t="str" cm="1">
        <f t="array" ref="J573">_xlfn.IFS(
AND(I573&gt;=89,I573&lt;=92),"D-90",
AND(I573&gt;=58,I573&lt;=62),"D-60",
AND(I573&gt;=28,I573&lt;=32),"D-30",
AND(I573=0),"당월",
TRUE,"그외")</f>
        <v>당월</v>
      </c>
    </row>
    <row r="574" spans="1:10" ht="17.649999999999999" customHeight="1" x14ac:dyDescent="0.3">
      <c r="A574" s="4">
        <v>45809</v>
      </c>
      <c r="B574" s="5" t="s">
        <v>11</v>
      </c>
      <c r="C574" s="4">
        <v>45689</v>
      </c>
      <c r="D574" s="5" t="s">
        <v>10</v>
      </c>
      <c r="E574" s="6">
        <v>4</v>
      </c>
      <c r="F574" s="6">
        <v>160900</v>
      </c>
      <c r="G574" s="6">
        <v>643600</v>
      </c>
      <c r="H574" s="6">
        <v>128400</v>
      </c>
      <c r="I574" s="6">
        <f t="shared" si="8"/>
        <v>120</v>
      </c>
      <c r="J574" t="str" cm="1">
        <f t="array" ref="J574">_xlfn.IFS(
AND(I574&gt;=89,I574&lt;=92),"D-90",
AND(I574&gt;=58,I574&lt;=62),"D-60",
AND(I574&gt;=28,I574&lt;=32),"D-30",
AND(I574=0),"당월",
TRUE,"그외")</f>
        <v>그외</v>
      </c>
    </row>
    <row r="575" spans="1:10" ht="17.649999999999999" customHeight="1" x14ac:dyDescent="0.3">
      <c r="A575" s="4">
        <v>45809</v>
      </c>
      <c r="B575" s="5" t="s">
        <v>11</v>
      </c>
      <c r="C575" s="4">
        <v>45717</v>
      </c>
      <c r="D575" s="5" t="s">
        <v>10</v>
      </c>
      <c r="E575" s="6">
        <v>47</v>
      </c>
      <c r="F575" s="6">
        <v>173442.55319148939</v>
      </c>
      <c r="G575" s="6">
        <v>8151800</v>
      </c>
      <c r="H575" s="6">
        <v>1577600</v>
      </c>
      <c r="I575" s="6">
        <f t="shared" si="8"/>
        <v>92</v>
      </c>
      <c r="J575" t="str" cm="1">
        <f t="array" ref="J575">_xlfn.IFS(
AND(I575&gt;=89,I575&lt;=92),"D-90",
AND(I575&gt;=58,I575&lt;=62),"D-60",
AND(I575&gt;=28,I575&lt;=32),"D-30",
AND(I575=0),"당월",
TRUE,"그외")</f>
        <v>D-90</v>
      </c>
    </row>
    <row r="576" spans="1:10" ht="17.649999999999999" customHeight="1" x14ac:dyDescent="0.3">
      <c r="A576" s="4">
        <v>45809</v>
      </c>
      <c r="B576" s="5" t="s">
        <v>11</v>
      </c>
      <c r="C576" s="4">
        <v>45748</v>
      </c>
      <c r="D576" s="5" t="s">
        <v>9</v>
      </c>
      <c r="E576" s="6">
        <v>51</v>
      </c>
      <c r="F576" s="6">
        <v>187323.5294117647</v>
      </c>
      <c r="G576" s="6">
        <v>9553500</v>
      </c>
      <c r="H576" s="6">
        <v>1402500</v>
      </c>
      <c r="I576" s="6">
        <f t="shared" si="8"/>
        <v>61</v>
      </c>
      <c r="J576" t="str" cm="1">
        <f t="array" ref="J576">_xlfn.IFS(
AND(I576&gt;=89,I576&lt;=92),"D-90",
AND(I576&gt;=58,I576&lt;=62),"D-60",
AND(I576&gt;=28,I576&lt;=32),"D-30",
AND(I576=0),"당월",
TRUE,"그외")</f>
        <v>D-60</v>
      </c>
    </row>
    <row r="577" spans="1:10" ht="17.649999999999999" customHeight="1" x14ac:dyDescent="0.3">
      <c r="A577" s="4">
        <v>45809</v>
      </c>
      <c r="B577" s="5" t="s">
        <v>11</v>
      </c>
      <c r="C577" s="4">
        <v>45748</v>
      </c>
      <c r="D577" s="5" t="s">
        <v>10</v>
      </c>
      <c r="E577" s="6">
        <v>61</v>
      </c>
      <c r="F577" s="6">
        <v>184604.9180327869</v>
      </c>
      <c r="G577" s="6">
        <v>11260900</v>
      </c>
      <c r="H577" s="6">
        <v>1677500</v>
      </c>
      <c r="I577" s="6">
        <f t="shared" si="8"/>
        <v>61</v>
      </c>
      <c r="J577" t="str" cm="1">
        <f t="array" ref="J577">_xlfn.IFS(
AND(I577&gt;=89,I577&lt;=92),"D-90",
AND(I577&gt;=58,I577&lt;=62),"D-60",
AND(I577&gt;=28,I577&lt;=32),"D-30",
AND(I577=0),"당월",
TRUE,"그외")</f>
        <v>D-60</v>
      </c>
    </row>
    <row r="578" spans="1:10" ht="17.649999999999999" customHeight="1" x14ac:dyDescent="0.3">
      <c r="A578" s="4">
        <v>45809</v>
      </c>
      <c r="B578" s="5" t="s">
        <v>11</v>
      </c>
      <c r="C578" s="4">
        <v>45778</v>
      </c>
      <c r="D578" s="5" t="s">
        <v>9</v>
      </c>
      <c r="E578" s="6">
        <v>860</v>
      </c>
      <c r="F578" s="6">
        <v>138686.51162790699</v>
      </c>
      <c r="G578" s="6">
        <v>119270400</v>
      </c>
      <c r="H578" s="6">
        <v>20244400</v>
      </c>
      <c r="I578" s="6">
        <f t="shared" si="8"/>
        <v>31</v>
      </c>
      <c r="J578" t="str" cm="1">
        <f t="array" ref="J578">_xlfn.IFS(
AND(I578&gt;=89,I578&lt;=92),"D-90",
AND(I578&gt;=58,I578&lt;=62),"D-60",
AND(I578&gt;=28,I578&lt;=32),"D-30",
AND(I578=0),"당월",
TRUE,"그외")</f>
        <v>D-30</v>
      </c>
    </row>
    <row r="579" spans="1:10" ht="17.649999999999999" customHeight="1" x14ac:dyDescent="0.3">
      <c r="A579" s="4">
        <v>45809</v>
      </c>
      <c r="B579" s="5" t="s">
        <v>11</v>
      </c>
      <c r="C579" s="4">
        <v>45778</v>
      </c>
      <c r="D579" s="5" t="s">
        <v>10</v>
      </c>
      <c r="E579" s="6">
        <v>4099</v>
      </c>
      <c r="F579" s="6">
        <v>163878.79799951211</v>
      </c>
      <c r="G579" s="6">
        <v>671739193</v>
      </c>
      <c r="H579" s="6">
        <v>110018360</v>
      </c>
      <c r="I579" s="6">
        <f t="shared" ref="I579:I642" si="9">A579-C579</f>
        <v>31</v>
      </c>
      <c r="J579" t="str" cm="1">
        <f t="array" ref="J579">_xlfn.IFS(
AND(I579&gt;=89,I579&lt;=92),"D-90",
AND(I579&gt;=58,I579&lt;=62),"D-60",
AND(I579&gt;=28,I579&lt;=32),"D-30",
AND(I579=0),"당월",
TRUE,"그외")</f>
        <v>D-30</v>
      </c>
    </row>
    <row r="580" spans="1:10" ht="17.649999999999999" customHeight="1" x14ac:dyDescent="0.3">
      <c r="A580" s="4">
        <v>45809</v>
      </c>
      <c r="B580" s="5" t="s">
        <v>11</v>
      </c>
      <c r="C580" s="4">
        <v>45809</v>
      </c>
      <c r="D580" s="5" t="s">
        <v>9</v>
      </c>
      <c r="E580" s="6">
        <v>40</v>
      </c>
      <c r="F580" s="6">
        <v>172865</v>
      </c>
      <c r="G580" s="6">
        <v>6914600</v>
      </c>
      <c r="H580" s="6">
        <v>720600</v>
      </c>
      <c r="I580" s="6">
        <f t="shared" si="9"/>
        <v>0</v>
      </c>
      <c r="J580" t="str" cm="1">
        <f t="array" ref="J580">_xlfn.IFS(
AND(I580&gt;=89,I580&lt;=92),"D-90",
AND(I580&gt;=58,I580&lt;=62),"D-60",
AND(I580&gt;=28,I580&lt;=32),"D-30",
AND(I580=0),"당월",
TRUE,"그외")</f>
        <v>당월</v>
      </c>
    </row>
    <row r="581" spans="1:10" ht="17.649999999999999" customHeight="1" x14ac:dyDescent="0.3">
      <c r="A581" s="4">
        <v>45809</v>
      </c>
      <c r="B581" s="5" t="s">
        <v>11</v>
      </c>
      <c r="C581" s="4">
        <v>45809</v>
      </c>
      <c r="D581" s="5" t="s">
        <v>10</v>
      </c>
      <c r="E581" s="6">
        <v>620</v>
      </c>
      <c r="F581" s="6">
        <v>180064.1467741935</v>
      </c>
      <c r="G581" s="6">
        <v>111639771</v>
      </c>
      <c r="H581" s="6">
        <v>13155395</v>
      </c>
      <c r="I581" s="6">
        <f t="shared" si="9"/>
        <v>0</v>
      </c>
      <c r="J581" t="str" cm="1">
        <f t="array" ref="J581">_xlfn.IFS(
AND(I581&gt;=89,I581&lt;=92),"D-90",
AND(I581&gt;=58,I581&lt;=62),"D-60",
AND(I581&gt;=28,I581&lt;=32),"D-30",
AND(I581=0),"당월",
TRUE,"그외")</f>
        <v>당월</v>
      </c>
    </row>
    <row r="582" spans="1:10" ht="17.649999999999999" customHeight="1" x14ac:dyDescent="0.3">
      <c r="A582" s="4">
        <v>45809</v>
      </c>
      <c r="B582" s="5" t="s">
        <v>12</v>
      </c>
      <c r="C582" s="4">
        <v>45717</v>
      </c>
      <c r="D582" s="5" t="s">
        <v>9</v>
      </c>
      <c r="E582" s="6">
        <v>7</v>
      </c>
      <c r="F582" s="6">
        <v>133100</v>
      </c>
      <c r="G582" s="6">
        <v>931700</v>
      </c>
      <c r="H582" s="6">
        <v>224700</v>
      </c>
      <c r="I582" s="6">
        <f t="shared" si="9"/>
        <v>92</v>
      </c>
      <c r="J582" t="str" cm="1">
        <f t="array" ref="J582">_xlfn.IFS(
AND(I582&gt;=89,I582&lt;=92),"D-90",
AND(I582&gt;=58,I582&lt;=62),"D-60",
AND(I582&gt;=28,I582&lt;=32),"D-30",
AND(I582=0),"당월",
TRUE,"그외")</f>
        <v>D-90</v>
      </c>
    </row>
    <row r="583" spans="1:10" ht="17.649999999999999" customHeight="1" x14ac:dyDescent="0.3">
      <c r="A583" s="4">
        <v>45809</v>
      </c>
      <c r="B583" s="5" t="s">
        <v>12</v>
      </c>
      <c r="C583" s="4">
        <v>45717</v>
      </c>
      <c r="D583" s="5" t="s">
        <v>10</v>
      </c>
      <c r="E583" s="6">
        <v>3</v>
      </c>
      <c r="F583" s="6">
        <v>174677.33333333331</v>
      </c>
      <c r="G583" s="6">
        <v>524032</v>
      </c>
      <c r="H583" s="6">
        <v>119207</v>
      </c>
      <c r="I583" s="6">
        <f t="shared" si="9"/>
        <v>92</v>
      </c>
      <c r="J583" t="str" cm="1">
        <f t="array" ref="J583">_xlfn.IFS(
AND(I583&gt;=89,I583&lt;=92),"D-90",
AND(I583&gt;=58,I583&lt;=62),"D-60",
AND(I583&gt;=28,I583&lt;=32),"D-30",
AND(I583=0),"당월",
TRUE,"그외")</f>
        <v>D-90</v>
      </c>
    </row>
    <row r="584" spans="1:10" ht="17.649999999999999" customHeight="1" x14ac:dyDescent="0.3">
      <c r="A584" s="4">
        <v>45809</v>
      </c>
      <c r="B584" s="5" t="s">
        <v>12</v>
      </c>
      <c r="C584" s="4">
        <v>45748</v>
      </c>
      <c r="D584" s="5" t="s">
        <v>9</v>
      </c>
      <c r="E584" s="6">
        <v>7</v>
      </c>
      <c r="F584" s="6">
        <v>128928.57142857141</v>
      </c>
      <c r="G584" s="6">
        <v>902500</v>
      </c>
      <c r="H584" s="6">
        <v>192500</v>
      </c>
      <c r="I584" s="6">
        <f t="shared" si="9"/>
        <v>61</v>
      </c>
      <c r="J584" t="str" cm="1">
        <f t="array" ref="J584">_xlfn.IFS(
AND(I584&gt;=89,I584&lt;=92),"D-90",
AND(I584&gt;=58,I584&lt;=62),"D-60",
AND(I584&gt;=28,I584&lt;=32),"D-30",
AND(I584=0),"당월",
TRUE,"그외")</f>
        <v>D-60</v>
      </c>
    </row>
    <row r="585" spans="1:10" ht="17.649999999999999" customHeight="1" x14ac:dyDescent="0.3">
      <c r="A585" s="4">
        <v>45809</v>
      </c>
      <c r="B585" s="5" t="s">
        <v>12</v>
      </c>
      <c r="C585" s="4">
        <v>45748</v>
      </c>
      <c r="D585" s="5" t="s">
        <v>10</v>
      </c>
      <c r="E585" s="6">
        <v>109</v>
      </c>
      <c r="F585" s="6">
        <v>141010.73394495409</v>
      </c>
      <c r="G585" s="6">
        <v>15370170</v>
      </c>
      <c r="H585" s="6">
        <v>3129754</v>
      </c>
      <c r="I585" s="6">
        <f t="shared" si="9"/>
        <v>61</v>
      </c>
      <c r="J585" t="str" cm="1">
        <f t="array" ref="J585">_xlfn.IFS(
AND(I585&gt;=89,I585&lt;=92),"D-90",
AND(I585&gt;=58,I585&lt;=62),"D-60",
AND(I585&gt;=28,I585&lt;=32),"D-30",
AND(I585=0),"당월",
TRUE,"그외")</f>
        <v>D-60</v>
      </c>
    </row>
    <row r="586" spans="1:10" ht="17.649999999999999" customHeight="1" x14ac:dyDescent="0.3">
      <c r="A586" s="4">
        <v>45809</v>
      </c>
      <c r="B586" s="5" t="s">
        <v>12</v>
      </c>
      <c r="C586" s="4">
        <v>45778</v>
      </c>
      <c r="D586" s="5" t="s">
        <v>9</v>
      </c>
      <c r="E586" s="6">
        <v>1021</v>
      </c>
      <c r="F586" s="6">
        <v>121025.9549461312</v>
      </c>
      <c r="G586" s="6">
        <v>123567500</v>
      </c>
      <c r="H586" s="6">
        <v>23004500</v>
      </c>
      <c r="I586" s="6">
        <f t="shared" si="9"/>
        <v>31</v>
      </c>
      <c r="J586" t="str" cm="1">
        <f t="array" ref="J586">_xlfn.IFS(
AND(I586&gt;=89,I586&lt;=92),"D-90",
AND(I586&gt;=58,I586&lt;=62),"D-60",
AND(I586&gt;=28,I586&lt;=32),"D-30",
AND(I586=0),"당월",
TRUE,"그외")</f>
        <v>D-30</v>
      </c>
    </row>
    <row r="587" spans="1:10" ht="17.649999999999999" customHeight="1" x14ac:dyDescent="0.3">
      <c r="A587" s="4">
        <v>45809</v>
      </c>
      <c r="B587" s="5" t="s">
        <v>12</v>
      </c>
      <c r="C587" s="4">
        <v>45778</v>
      </c>
      <c r="D587" s="5" t="s">
        <v>10</v>
      </c>
      <c r="E587" s="6">
        <v>1697</v>
      </c>
      <c r="F587" s="6">
        <v>143527.90689451981</v>
      </c>
      <c r="G587" s="6">
        <v>243566858</v>
      </c>
      <c r="H587" s="6">
        <v>44331022</v>
      </c>
      <c r="I587" s="6">
        <f t="shared" si="9"/>
        <v>31</v>
      </c>
      <c r="J587" t="str" cm="1">
        <f t="array" ref="J587">_xlfn.IFS(
AND(I587&gt;=89,I587&lt;=92),"D-90",
AND(I587&gt;=58,I587&lt;=62),"D-60",
AND(I587&gt;=28,I587&lt;=32),"D-30",
AND(I587=0),"당월",
TRUE,"그외")</f>
        <v>D-30</v>
      </c>
    </row>
    <row r="588" spans="1:10" ht="17.649999999999999" customHeight="1" x14ac:dyDescent="0.3">
      <c r="A588" s="4">
        <v>45809</v>
      </c>
      <c r="B588" s="5" t="s">
        <v>12</v>
      </c>
      <c r="C588" s="4">
        <v>45809</v>
      </c>
      <c r="D588" s="5" t="s">
        <v>9</v>
      </c>
      <c r="E588" s="6">
        <v>312</v>
      </c>
      <c r="F588" s="6">
        <v>99245.833333333328</v>
      </c>
      <c r="G588" s="6">
        <v>30964700</v>
      </c>
      <c r="H588" s="6">
        <v>5554700</v>
      </c>
      <c r="I588" s="6">
        <f t="shared" si="9"/>
        <v>0</v>
      </c>
      <c r="J588" t="str" cm="1">
        <f t="array" ref="J588">_xlfn.IFS(
AND(I588&gt;=89,I588&lt;=92),"D-90",
AND(I588&gt;=58,I588&lt;=62),"D-60",
AND(I588&gt;=28,I588&lt;=32),"D-30",
AND(I588=0),"당월",
TRUE,"그외")</f>
        <v>당월</v>
      </c>
    </row>
    <row r="589" spans="1:10" ht="17.649999999999999" customHeight="1" x14ac:dyDescent="0.3">
      <c r="A589" s="4">
        <v>45809</v>
      </c>
      <c r="B589" s="5" t="s">
        <v>12</v>
      </c>
      <c r="C589" s="4">
        <v>45809</v>
      </c>
      <c r="D589" s="5" t="s">
        <v>10</v>
      </c>
      <c r="E589" s="6">
        <v>426</v>
      </c>
      <c r="F589" s="6">
        <v>137059.2769953052</v>
      </c>
      <c r="G589" s="6">
        <v>58387252</v>
      </c>
      <c r="H589" s="6">
        <v>8209159</v>
      </c>
      <c r="I589" s="6">
        <f t="shared" si="9"/>
        <v>0</v>
      </c>
      <c r="J589" t="str" cm="1">
        <f t="array" ref="J589">_xlfn.IFS(
AND(I589&gt;=89,I589&lt;=92),"D-90",
AND(I589&gt;=58,I589&lt;=62),"D-60",
AND(I589&gt;=28,I589&lt;=32),"D-30",
AND(I589=0),"당월",
TRUE,"그외")</f>
        <v>당월</v>
      </c>
    </row>
    <row r="590" spans="1:10" ht="17.649999999999999" customHeight="1" x14ac:dyDescent="0.3">
      <c r="A590" s="4">
        <v>45839</v>
      </c>
      <c r="B590" s="5" t="s">
        <v>8</v>
      </c>
      <c r="C590" s="4">
        <v>45658</v>
      </c>
      <c r="D590" s="5" t="s">
        <v>10</v>
      </c>
      <c r="E590" s="6">
        <v>296</v>
      </c>
      <c r="F590" s="6">
        <v>222129.39189189189</v>
      </c>
      <c r="G590" s="6">
        <v>65750300</v>
      </c>
      <c r="H590" s="6">
        <v>9138500</v>
      </c>
      <c r="I590" s="6">
        <f t="shared" si="9"/>
        <v>181</v>
      </c>
      <c r="J590" t="str" cm="1">
        <f t="array" ref="J590">_xlfn.IFS(
AND(I590&gt;=89,I590&lt;=92),"D-90",
AND(I590&gt;=58,I590&lt;=62),"D-60",
AND(I590&gt;=28,I590&lt;=32),"D-30",
AND(I590=0),"당월",
TRUE,"그외")</f>
        <v>그외</v>
      </c>
    </row>
    <row r="591" spans="1:10" ht="17.649999999999999" customHeight="1" x14ac:dyDescent="0.3">
      <c r="A591" s="4">
        <v>45839</v>
      </c>
      <c r="B591" s="5" t="s">
        <v>8</v>
      </c>
      <c r="C591" s="4">
        <v>45689</v>
      </c>
      <c r="D591" s="5" t="s">
        <v>10</v>
      </c>
      <c r="E591" s="6">
        <v>576</v>
      </c>
      <c r="F591" s="6">
        <v>237885.21006944441</v>
      </c>
      <c r="G591" s="6">
        <v>137021881</v>
      </c>
      <c r="H591" s="6">
        <v>18575732</v>
      </c>
      <c r="I591" s="6">
        <f t="shared" si="9"/>
        <v>150</v>
      </c>
      <c r="J591" t="str" cm="1">
        <f t="array" ref="J591">_xlfn.IFS(
AND(I591&gt;=89,I591&lt;=92),"D-90",
AND(I591&gt;=58,I591&lt;=62),"D-60",
AND(I591&gt;=28,I591&lt;=32),"D-30",
AND(I591=0),"당월",
TRUE,"그외")</f>
        <v>그외</v>
      </c>
    </row>
    <row r="592" spans="1:10" ht="17.649999999999999" customHeight="1" x14ac:dyDescent="0.3">
      <c r="A592" s="4">
        <v>45839</v>
      </c>
      <c r="B592" s="5" t="s">
        <v>8</v>
      </c>
      <c r="C592" s="4">
        <v>45717</v>
      </c>
      <c r="D592" s="5" t="s">
        <v>9</v>
      </c>
      <c r="E592" s="6">
        <v>14</v>
      </c>
      <c r="F592" s="6">
        <v>177600</v>
      </c>
      <c r="G592" s="6">
        <v>2486400</v>
      </c>
      <c r="H592" s="6">
        <v>526400</v>
      </c>
      <c r="I592" s="6">
        <f t="shared" si="9"/>
        <v>122</v>
      </c>
      <c r="J592" t="str" cm="1">
        <f t="array" ref="J592">_xlfn.IFS(
AND(I592&gt;=89,I592&lt;=92),"D-90",
AND(I592&gt;=58,I592&lt;=62),"D-60",
AND(I592&gt;=28,I592&lt;=32),"D-30",
AND(I592=0),"당월",
TRUE,"그외")</f>
        <v>그외</v>
      </c>
    </row>
    <row r="593" spans="1:10" ht="17.649999999999999" customHeight="1" x14ac:dyDescent="0.3">
      <c r="A593" s="4">
        <v>45839</v>
      </c>
      <c r="B593" s="5" t="s">
        <v>8</v>
      </c>
      <c r="C593" s="4">
        <v>45717</v>
      </c>
      <c r="D593" s="5" t="s">
        <v>10</v>
      </c>
      <c r="E593" s="6">
        <v>400</v>
      </c>
      <c r="F593" s="6">
        <v>269415.37</v>
      </c>
      <c r="G593" s="6">
        <v>107766148</v>
      </c>
      <c r="H593" s="6">
        <v>15073528</v>
      </c>
      <c r="I593" s="6">
        <f t="shared" si="9"/>
        <v>122</v>
      </c>
      <c r="J593" t="str" cm="1">
        <f t="array" ref="J593">_xlfn.IFS(
AND(I593&gt;=89,I593&lt;=92),"D-90",
AND(I593&gt;=58,I593&lt;=62),"D-60",
AND(I593&gt;=28,I593&lt;=32),"D-30",
AND(I593=0),"당월",
TRUE,"그외")</f>
        <v>그외</v>
      </c>
    </row>
    <row r="594" spans="1:10" ht="17.649999999999999" customHeight="1" x14ac:dyDescent="0.3">
      <c r="A594" s="4">
        <v>45839</v>
      </c>
      <c r="B594" s="5" t="s">
        <v>8</v>
      </c>
      <c r="C594" s="4">
        <v>45748</v>
      </c>
      <c r="D594" s="5" t="s">
        <v>9</v>
      </c>
      <c r="E594" s="6">
        <v>18</v>
      </c>
      <c r="F594" s="6">
        <v>157500</v>
      </c>
      <c r="G594" s="6">
        <v>2835000</v>
      </c>
      <c r="H594" s="6">
        <v>495000</v>
      </c>
      <c r="I594" s="6">
        <f t="shared" si="9"/>
        <v>91</v>
      </c>
      <c r="J594" t="str" cm="1">
        <f t="array" ref="J594">_xlfn.IFS(
AND(I594&gt;=89,I594&lt;=92),"D-90",
AND(I594&gt;=58,I594&lt;=62),"D-60",
AND(I594&gt;=28,I594&lt;=32),"D-30",
AND(I594=0),"당월",
TRUE,"그외")</f>
        <v>D-90</v>
      </c>
    </row>
    <row r="595" spans="1:10" ht="17.649999999999999" customHeight="1" x14ac:dyDescent="0.3">
      <c r="A595" s="4">
        <v>45839</v>
      </c>
      <c r="B595" s="5" t="s">
        <v>8</v>
      </c>
      <c r="C595" s="4">
        <v>45748</v>
      </c>
      <c r="D595" s="5" t="s">
        <v>10</v>
      </c>
      <c r="E595" s="6">
        <v>412</v>
      </c>
      <c r="F595" s="6">
        <v>226060.8082524272</v>
      </c>
      <c r="G595" s="6">
        <v>93137053</v>
      </c>
      <c r="H595" s="6">
        <v>11805123</v>
      </c>
      <c r="I595" s="6">
        <f t="shared" si="9"/>
        <v>91</v>
      </c>
      <c r="J595" t="str" cm="1">
        <f t="array" ref="J595">_xlfn.IFS(
AND(I595&gt;=89,I595&lt;=92),"D-90",
AND(I595&gt;=58,I595&lt;=62),"D-60",
AND(I595&gt;=28,I595&lt;=32),"D-30",
AND(I595=0),"당월",
TRUE,"그외")</f>
        <v>D-90</v>
      </c>
    </row>
    <row r="596" spans="1:10" ht="17.649999999999999" customHeight="1" x14ac:dyDescent="0.3">
      <c r="A596" s="4">
        <v>45839</v>
      </c>
      <c r="B596" s="5" t="s">
        <v>8</v>
      </c>
      <c r="C596" s="4">
        <v>45778</v>
      </c>
      <c r="D596" s="5" t="s">
        <v>9</v>
      </c>
      <c r="E596" s="6">
        <v>932</v>
      </c>
      <c r="F596" s="6">
        <v>200840.98712446351</v>
      </c>
      <c r="G596" s="6">
        <v>187183800</v>
      </c>
      <c r="H596" s="6">
        <v>20410800</v>
      </c>
      <c r="I596" s="6">
        <f t="shared" si="9"/>
        <v>61</v>
      </c>
      <c r="J596" t="str" cm="1">
        <f t="array" ref="J596">_xlfn.IFS(
AND(I596&gt;=89,I596&lt;=92),"D-90",
AND(I596&gt;=58,I596&lt;=62),"D-60",
AND(I596&gt;=28,I596&lt;=32),"D-30",
AND(I596=0),"당월",
TRUE,"그외")</f>
        <v>D-60</v>
      </c>
    </row>
    <row r="597" spans="1:10" ht="17.649999999999999" customHeight="1" x14ac:dyDescent="0.3">
      <c r="A597" s="4">
        <v>45839</v>
      </c>
      <c r="B597" s="5" t="s">
        <v>8</v>
      </c>
      <c r="C597" s="4">
        <v>45778</v>
      </c>
      <c r="D597" s="5" t="s">
        <v>10</v>
      </c>
      <c r="E597" s="6">
        <v>1159</v>
      </c>
      <c r="F597" s="6">
        <v>196579.3494391717</v>
      </c>
      <c r="G597" s="6">
        <v>227835466</v>
      </c>
      <c r="H597" s="6">
        <v>27101503</v>
      </c>
      <c r="I597" s="6">
        <f t="shared" si="9"/>
        <v>61</v>
      </c>
      <c r="J597" t="str" cm="1">
        <f t="array" ref="J597">_xlfn.IFS(
AND(I597&gt;=89,I597&lt;=92),"D-90",
AND(I597&gt;=58,I597&lt;=62),"D-60",
AND(I597&gt;=28,I597&lt;=32),"D-30",
AND(I597=0),"당월",
TRUE,"그외")</f>
        <v>D-60</v>
      </c>
    </row>
    <row r="598" spans="1:10" ht="17.649999999999999" customHeight="1" x14ac:dyDescent="0.3">
      <c r="A598" s="4">
        <v>45839</v>
      </c>
      <c r="B598" s="5" t="s">
        <v>8</v>
      </c>
      <c r="C598" s="4">
        <v>45809</v>
      </c>
      <c r="D598" s="5" t="s">
        <v>9</v>
      </c>
      <c r="E598" s="6">
        <v>563</v>
      </c>
      <c r="F598" s="6">
        <v>141912.61101243339</v>
      </c>
      <c r="G598" s="6">
        <v>79896800</v>
      </c>
      <c r="H598" s="6">
        <v>9580800</v>
      </c>
      <c r="I598" s="6">
        <f t="shared" si="9"/>
        <v>30</v>
      </c>
      <c r="J598" t="str" cm="1">
        <f t="array" ref="J598">_xlfn.IFS(
AND(I598&gt;=89,I598&lt;=92),"D-90",
AND(I598&gt;=58,I598&lt;=62),"D-60",
AND(I598&gt;=28,I598&lt;=32),"D-30",
AND(I598=0),"당월",
TRUE,"그외")</f>
        <v>D-30</v>
      </c>
    </row>
    <row r="599" spans="1:10" ht="17.649999999999999" customHeight="1" x14ac:dyDescent="0.3">
      <c r="A599" s="4">
        <v>45839</v>
      </c>
      <c r="B599" s="5" t="s">
        <v>8</v>
      </c>
      <c r="C599" s="4">
        <v>45809</v>
      </c>
      <c r="D599" s="5" t="s">
        <v>10</v>
      </c>
      <c r="E599" s="6">
        <v>1401</v>
      </c>
      <c r="F599" s="6">
        <v>186264.73019271949</v>
      </c>
      <c r="G599" s="6">
        <v>260956887</v>
      </c>
      <c r="H599" s="6">
        <v>36376675</v>
      </c>
      <c r="I599" s="6">
        <f t="shared" si="9"/>
        <v>30</v>
      </c>
      <c r="J599" t="str" cm="1">
        <f t="array" ref="J599">_xlfn.IFS(
AND(I599&gt;=89,I599&lt;=92),"D-90",
AND(I599&gt;=58,I599&lt;=62),"D-60",
AND(I599&gt;=28,I599&lt;=32),"D-30",
AND(I599=0),"당월",
TRUE,"그외")</f>
        <v>D-30</v>
      </c>
    </row>
    <row r="600" spans="1:10" ht="17.649999999999999" customHeight="1" x14ac:dyDescent="0.3">
      <c r="A600" s="4">
        <v>45839</v>
      </c>
      <c r="B600" s="5" t="s">
        <v>8</v>
      </c>
      <c r="C600" s="4">
        <v>45839</v>
      </c>
      <c r="D600" s="5" t="s">
        <v>9</v>
      </c>
      <c r="E600" s="6">
        <v>54</v>
      </c>
      <c r="F600" s="6">
        <v>207403.70370370371</v>
      </c>
      <c r="G600" s="6">
        <v>11199800</v>
      </c>
      <c r="H600" s="6">
        <v>901800</v>
      </c>
      <c r="I600" s="6">
        <f t="shared" si="9"/>
        <v>0</v>
      </c>
      <c r="J600" t="str" cm="1">
        <f t="array" ref="J600">_xlfn.IFS(
AND(I600&gt;=89,I600&lt;=92),"D-90",
AND(I600&gt;=58,I600&lt;=62),"D-60",
AND(I600&gt;=28,I600&lt;=32),"D-30",
AND(I600=0),"당월",
TRUE,"그외")</f>
        <v>당월</v>
      </c>
    </row>
    <row r="601" spans="1:10" ht="17.649999999999999" customHeight="1" x14ac:dyDescent="0.3">
      <c r="A601" s="4">
        <v>45839</v>
      </c>
      <c r="B601" s="5" t="s">
        <v>8</v>
      </c>
      <c r="C601" s="4">
        <v>45839</v>
      </c>
      <c r="D601" s="5" t="s">
        <v>10</v>
      </c>
      <c r="E601" s="6">
        <v>333</v>
      </c>
      <c r="F601" s="6">
        <v>248799.98798798799</v>
      </c>
      <c r="G601" s="6">
        <v>82850396</v>
      </c>
      <c r="H601" s="6">
        <v>7717736</v>
      </c>
      <c r="I601" s="6">
        <f t="shared" si="9"/>
        <v>0</v>
      </c>
      <c r="J601" t="str" cm="1">
        <f t="array" ref="J601">_xlfn.IFS(
AND(I601&gt;=89,I601&lt;=92),"D-90",
AND(I601&gt;=58,I601&lt;=62),"D-60",
AND(I601&gt;=28,I601&lt;=32),"D-30",
AND(I601=0),"당월",
TRUE,"그외")</f>
        <v>당월</v>
      </c>
    </row>
    <row r="602" spans="1:10" ht="17.649999999999999" customHeight="1" x14ac:dyDescent="0.3">
      <c r="A602" s="4">
        <v>45839</v>
      </c>
      <c r="B602" s="5" t="s">
        <v>11</v>
      </c>
      <c r="C602" s="4">
        <v>45778</v>
      </c>
      <c r="D602" s="5" t="s">
        <v>9</v>
      </c>
      <c r="E602" s="6">
        <v>100</v>
      </c>
      <c r="F602" s="6">
        <v>120272</v>
      </c>
      <c r="G602" s="6">
        <v>12027200</v>
      </c>
      <c r="H602" s="6">
        <v>2313200</v>
      </c>
      <c r="I602" s="6">
        <f t="shared" si="9"/>
        <v>61</v>
      </c>
      <c r="J602" t="str" cm="1">
        <f t="array" ref="J602">_xlfn.IFS(
AND(I602&gt;=89,I602&lt;=92),"D-90",
AND(I602&gt;=58,I602&lt;=62),"D-60",
AND(I602&gt;=28,I602&lt;=32),"D-30",
AND(I602=0),"당월",
TRUE,"그외")</f>
        <v>D-60</v>
      </c>
    </row>
    <row r="603" spans="1:10" ht="17.649999999999999" customHeight="1" x14ac:dyDescent="0.3">
      <c r="A603" s="4">
        <v>45839</v>
      </c>
      <c r="B603" s="5" t="s">
        <v>11</v>
      </c>
      <c r="C603" s="4">
        <v>45778</v>
      </c>
      <c r="D603" s="5" t="s">
        <v>10</v>
      </c>
      <c r="E603" s="6">
        <v>2808</v>
      </c>
      <c r="F603" s="6">
        <v>206620.36680911679</v>
      </c>
      <c r="G603" s="6">
        <v>580189990</v>
      </c>
      <c r="H603" s="6">
        <v>77085501</v>
      </c>
      <c r="I603" s="6">
        <f t="shared" si="9"/>
        <v>61</v>
      </c>
      <c r="J603" t="str" cm="1">
        <f t="array" ref="J603">_xlfn.IFS(
AND(I603&gt;=89,I603&lt;=92),"D-90",
AND(I603&gt;=58,I603&lt;=62),"D-60",
AND(I603&gt;=28,I603&lt;=32),"D-30",
AND(I603=0),"당월",
TRUE,"그외")</f>
        <v>D-60</v>
      </c>
    </row>
    <row r="604" spans="1:10" ht="17.649999999999999" customHeight="1" x14ac:dyDescent="0.3">
      <c r="A604" s="4">
        <v>45839</v>
      </c>
      <c r="B604" s="5" t="s">
        <v>11</v>
      </c>
      <c r="C604" s="4">
        <v>45809</v>
      </c>
      <c r="D604" s="5" t="s">
        <v>9</v>
      </c>
      <c r="E604" s="6">
        <v>652</v>
      </c>
      <c r="F604" s="6">
        <v>167722.39263803681</v>
      </c>
      <c r="G604" s="6">
        <v>109355000</v>
      </c>
      <c r="H604" s="6">
        <v>11084000</v>
      </c>
      <c r="I604" s="6">
        <f t="shared" si="9"/>
        <v>30</v>
      </c>
      <c r="J604" t="str" cm="1">
        <f t="array" ref="J604">_xlfn.IFS(
AND(I604&gt;=89,I604&lt;=92),"D-90",
AND(I604&gt;=58,I604&lt;=62),"D-60",
AND(I604&gt;=28,I604&lt;=32),"D-30",
AND(I604=0),"당월",
TRUE,"그외")</f>
        <v>D-30</v>
      </c>
    </row>
    <row r="605" spans="1:10" ht="17.649999999999999" customHeight="1" x14ac:dyDescent="0.3">
      <c r="A605" s="4">
        <v>45839</v>
      </c>
      <c r="B605" s="5" t="s">
        <v>11</v>
      </c>
      <c r="C605" s="4">
        <v>45809</v>
      </c>
      <c r="D605" s="5" t="s">
        <v>10</v>
      </c>
      <c r="E605" s="6">
        <v>1604</v>
      </c>
      <c r="F605" s="6">
        <v>202135.20822942641</v>
      </c>
      <c r="G605" s="6">
        <v>324224874</v>
      </c>
      <c r="H605" s="6">
        <v>29058051</v>
      </c>
      <c r="I605" s="6">
        <f t="shared" si="9"/>
        <v>30</v>
      </c>
      <c r="J605" t="str" cm="1">
        <f t="array" ref="J605">_xlfn.IFS(
AND(I605&gt;=89,I605&lt;=92),"D-90",
AND(I605&gt;=58,I605&lt;=62),"D-60",
AND(I605&gt;=28,I605&lt;=32),"D-30",
AND(I605=0),"당월",
TRUE,"그외")</f>
        <v>D-30</v>
      </c>
    </row>
    <row r="606" spans="1:10" ht="17.649999999999999" customHeight="1" x14ac:dyDescent="0.3">
      <c r="A606" s="4">
        <v>45839</v>
      </c>
      <c r="B606" s="5" t="s">
        <v>11</v>
      </c>
      <c r="C606" s="4">
        <v>45839</v>
      </c>
      <c r="D606" s="5" t="s">
        <v>9</v>
      </c>
      <c r="E606" s="6">
        <v>305</v>
      </c>
      <c r="F606" s="6">
        <v>266734.75409836072</v>
      </c>
      <c r="G606" s="6">
        <v>81354100</v>
      </c>
      <c r="H606" s="6">
        <v>5060100</v>
      </c>
      <c r="I606" s="6">
        <f t="shared" si="9"/>
        <v>0</v>
      </c>
      <c r="J606" t="str" cm="1">
        <f t="array" ref="J606">_xlfn.IFS(
AND(I606&gt;=89,I606&lt;=92),"D-90",
AND(I606&gt;=58,I606&lt;=62),"D-60",
AND(I606&gt;=28,I606&lt;=32),"D-30",
AND(I606=0),"당월",
TRUE,"그외")</f>
        <v>당월</v>
      </c>
    </row>
    <row r="607" spans="1:10" ht="17.649999999999999" customHeight="1" x14ac:dyDescent="0.3">
      <c r="A607" s="4">
        <v>45839</v>
      </c>
      <c r="B607" s="5" t="s">
        <v>11</v>
      </c>
      <c r="C607" s="4">
        <v>45839</v>
      </c>
      <c r="D607" s="5" t="s">
        <v>10</v>
      </c>
      <c r="E607" s="6">
        <v>1068</v>
      </c>
      <c r="F607" s="6">
        <v>263771.8380149813</v>
      </c>
      <c r="G607" s="6">
        <v>281708323</v>
      </c>
      <c r="H607" s="6">
        <v>22591896</v>
      </c>
      <c r="I607" s="6">
        <f t="shared" si="9"/>
        <v>0</v>
      </c>
      <c r="J607" t="str" cm="1">
        <f t="array" ref="J607">_xlfn.IFS(
AND(I607&gt;=89,I607&lt;=92),"D-90",
AND(I607&gt;=58,I607&lt;=62),"D-60",
AND(I607&gt;=28,I607&lt;=32),"D-30",
AND(I607=0),"당월",
TRUE,"그외")</f>
        <v>당월</v>
      </c>
    </row>
    <row r="608" spans="1:10" ht="17.649999999999999" customHeight="1" x14ac:dyDescent="0.3">
      <c r="A608" s="4">
        <v>45839</v>
      </c>
      <c r="B608" s="5" t="s">
        <v>12</v>
      </c>
      <c r="C608" s="4">
        <v>45658</v>
      </c>
      <c r="D608" s="5" t="s">
        <v>10</v>
      </c>
      <c r="E608" s="6">
        <v>1</v>
      </c>
      <c r="F608" s="6">
        <v>251000</v>
      </c>
      <c r="G608" s="6">
        <v>251000</v>
      </c>
      <c r="H608" s="6">
        <v>31000</v>
      </c>
      <c r="I608" s="6">
        <f t="shared" si="9"/>
        <v>181</v>
      </c>
      <c r="J608" t="str" cm="1">
        <f t="array" ref="J608">_xlfn.IFS(
AND(I608&gt;=89,I608&lt;=92),"D-90",
AND(I608&gt;=58,I608&lt;=62),"D-60",
AND(I608&gt;=28,I608&lt;=32),"D-30",
AND(I608=0),"당월",
TRUE,"그외")</f>
        <v>그외</v>
      </c>
    </row>
    <row r="609" spans="1:10" ht="17.649999999999999" customHeight="1" x14ac:dyDescent="0.3">
      <c r="A609" s="4">
        <v>45839</v>
      </c>
      <c r="B609" s="5" t="s">
        <v>12</v>
      </c>
      <c r="C609" s="4">
        <v>45778</v>
      </c>
      <c r="D609" s="5" t="s">
        <v>9</v>
      </c>
      <c r="E609" s="6">
        <v>162</v>
      </c>
      <c r="F609" s="6">
        <v>181866.66666666669</v>
      </c>
      <c r="G609" s="6">
        <v>29462400</v>
      </c>
      <c r="H609" s="6">
        <v>3938400</v>
      </c>
      <c r="I609" s="6">
        <f t="shared" si="9"/>
        <v>61</v>
      </c>
      <c r="J609" t="str" cm="1">
        <f t="array" ref="J609">_xlfn.IFS(
AND(I609&gt;=89,I609&lt;=92),"D-90",
AND(I609&gt;=58,I609&lt;=62),"D-60",
AND(I609&gt;=28,I609&lt;=32),"D-30",
AND(I609=0),"당월",
TRUE,"그외")</f>
        <v>D-60</v>
      </c>
    </row>
    <row r="610" spans="1:10" ht="17.649999999999999" customHeight="1" x14ac:dyDescent="0.3">
      <c r="A610" s="4">
        <v>45839</v>
      </c>
      <c r="B610" s="5" t="s">
        <v>12</v>
      </c>
      <c r="C610" s="4">
        <v>45778</v>
      </c>
      <c r="D610" s="5" t="s">
        <v>10</v>
      </c>
      <c r="E610" s="6">
        <v>2385</v>
      </c>
      <c r="F610" s="6">
        <v>205901.32788259961</v>
      </c>
      <c r="G610" s="6">
        <v>491074667</v>
      </c>
      <c r="H610" s="6">
        <v>59620434</v>
      </c>
      <c r="I610" s="6">
        <f t="shared" si="9"/>
        <v>61</v>
      </c>
      <c r="J610" t="str" cm="1">
        <f t="array" ref="J610">_xlfn.IFS(
AND(I610&gt;=89,I610&lt;=92),"D-90",
AND(I610&gt;=58,I610&lt;=62),"D-60",
AND(I610&gt;=28,I610&lt;=32),"D-30",
AND(I610=0),"당월",
TRUE,"그외")</f>
        <v>D-60</v>
      </c>
    </row>
    <row r="611" spans="1:10" ht="17.649999999999999" customHeight="1" x14ac:dyDescent="0.3">
      <c r="A611" s="4">
        <v>45839</v>
      </c>
      <c r="B611" s="5" t="s">
        <v>12</v>
      </c>
      <c r="C611" s="4">
        <v>45809</v>
      </c>
      <c r="D611" s="5" t="s">
        <v>9</v>
      </c>
      <c r="E611" s="6">
        <v>1212</v>
      </c>
      <c r="F611" s="6">
        <v>146127.64026402641</v>
      </c>
      <c r="G611" s="6">
        <v>177106700</v>
      </c>
      <c r="H611" s="6">
        <v>20814700</v>
      </c>
      <c r="I611" s="6">
        <f t="shared" si="9"/>
        <v>30</v>
      </c>
      <c r="J611" t="str" cm="1">
        <f t="array" ref="J611">_xlfn.IFS(
AND(I611&gt;=89,I611&lt;=92),"D-90",
AND(I611&gt;=58,I611&lt;=62),"D-60",
AND(I611&gt;=28,I611&lt;=32),"D-30",
AND(I611=0),"당월",
TRUE,"그외")</f>
        <v>D-30</v>
      </c>
    </row>
    <row r="612" spans="1:10" ht="17.649999999999999" customHeight="1" x14ac:dyDescent="0.3">
      <c r="A612" s="4">
        <v>45839</v>
      </c>
      <c r="B612" s="5" t="s">
        <v>12</v>
      </c>
      <c r="C612" s="4">
        <v>45809</v>
      </c>
      <c r="D612" s="5" t="s">
        <v>10</v>
      </c>
      <c r="E612" s="6">
        <v>1741</v>
      </c>
      <c r="F612" s="6">
        <v>206374.7788627226</v>
      </c>
      <c r="G612" s="6">
        <v>359298490</v>
      </c>
      <c r="H612" s="6">
        <v>33003749</v>
      </c>
      <c r="I612" s="6">
        <f t="shared" si="9"/>
        <v>30</v>
      </c>
      <c r="J612" t="str" cm="1">
        <f t="array" ref="J612">_xlfn.IFS(
AND(I612&gt;=89,I612&lt;=92),"D-90",
AND(I612&gt;=58,I612&lt;=62),"D-60",
AND(I612&gt;=28,I612&lt;=32),"D-30",
AND(I612=0),"당월",
TRUE,"그외")</f>
        <v>D-30</v>
      </c>
    </row>
    <row r="613" spans="1:10" ht="17.649999999999999" customHeight="1" x14ac:dyDescent="0.3">
      <c r="A613" s="4">
        <v>45839</v>
      </c>
      <c r="B613" s="5" t="s">
        <v>12</v>
      </c>
      <c r="C613" s="4">
        <v>45839</v>
      </c>
      <c r="D613" s="5" t="s">
        <v>9</v>
      </c>
      <c r="E613" s="6">
        <v>411</v>
      </c>
      <c r="F613" s="6">
        <v>226398.7834549878</v>
      </c>
      <c r="G613" s="6">
        <v>93049900</v>
      </c>
      <c r="H613" s="6">
        <v>6789900</v>
      </c>
      <c r="I613" s="6">
        <f t="shared" si="9"/>
        <v>0</v>
      </c>
      <c r="J613" t="str" cm="1">
        <f t="array" ref="J613">_xlfn.IFS(
AND(I613&gt;=89,I613&lt;=92),"D-90",
AND(I613&gt;=58,I613&lt;=62),"D-60",
AND(I613&gt;=28,I613&lt;=32),"D-30",
AND(I613=0),"당월",
TRUE,"그외")</f>
        <v>당월</v>
      </c>
    </row>
    <row r="614" spans="1:10" ht="17.649999999999999" customHeight="1" x14ac:dyDescent="0.3">
      <c r="A614" s="4">
        <v>45839</v>
      </c>
      <c r="B614" s="5" t="s">
        <v>12</v>
      </c>
      <c r="C614" s="4">
        <v>45839</v>
      </c>
      <c r="D614" s="5" t="s">
        <v>10</v>
      </c>
      <c r="E614" s="6">
        <v>732</v>
      </c>
      <c r="F614" s="6">
        <v>256756.2404371585</v>
      </c>
      <c r="G614" s="6">
        <v>187945568</v>
      </c>
      <c r="H614" s="6">
        <v>15293598</v>
      </c>
      <c r="I614" s="6">
        <f t="shared" si="9"/>
        <v>0</v>
      </c>
      <c r="J614" t="str" cm="1">
        <f t="array" ref="J614">_xlfn.IFS(
AND(I614&gt;=89,I614&lt;=92),"D-90",
AND(I614&gt;=58,I614&lt;=62),"D-60",
AND(I614&gt;=28,I614&lt;=32),"D-30",
AND(I614=0),"당월",
TRUE,"그외")</f>
        <v>당월</v>
      </c>
    </row>
    <row r="615" spans="1:10" ht="17.649999999999999" customHeight="1" x14ac:dyDescent="0.3">
      <c r="A615" s="4">
        <v>45870</v>
      </c>
      <c r="B615" s="5" t="s">
        <v>8</v>
      </c>
      <c r="C615" s="4">
        <v>45658</v>
      </c>
      <c r="D615" s="5" t="s">
        <v>10</v>
      </c>
      <c r="E615" s="6">
        <v>273</v>
      </c>
      <c r="F615" s="6">
        <v>249498.46886446889</v>
      </c>
      <c r="G615" s="6">
        <v>68113082</v>
      </c>
      <c r="H615" s="6">
        <v>8475726</v>
      </c>
      <c r="I615" s="6">
        <f t="shared" si="9"/>
        <v>212</v>
      </c>
      <c r="J615" t="str" cm="1">
        <f t="array" ref="J615">_xlfn.IFS(
AND(I615&gt;=89,I615&lt;=92),"D-90",
AND(I615&gt;=58,I615&lt;=62),"D-60",
AND(I615&gt;=28,I615&lt;=32),"D-30",
AND(I615=0),"당월",
TRUE,"그외")</f>
        <v>그외</v>
      </c>
    </row>
    <row r="616" spans="1:10" ht="17.649999999999999" customHeight="1" x14ac:dyDescent="0.3">
      <c r="A616" s="4">
        <v>45870</v>
      </c>
      <c r="B616" s="5" t="s">
        <v>8</v>
      </c>
      <c r="C616" s="4">
        <v>45689</v>
      </c>
      <c r="D616" s="5" t="s">
        <v>10</v>
      </c>
      <c r="E616" s="6">
        <v>642</v>
      </c>
      <c r="F616" s="6">
        <v>250898.2507788162</v>
      </c>
      <c r="G616" s="6">
        <v>161076677</v>
      </c>
      <c r="H616" s="6">
        <v>20615290</v>
      </c>
      <c r="I616" s="6">
        <f t="shared" si="9"/>
        <v>181</v>
      </c>
      <c r="J616" t="str" cm="1">
        <f t="array" ref="J616">_xlfn.IFS(
AND(I616&gt;=89,I616&lt;=92),"D-90",
AND(I616&gt;=58,I616&lt;=62),"D-60",
AND(I616&gt;=28,I616&lt;=32),"D-30",
AND(I616=0),"당월",
TRUE,"그외")</f>
        <v>그외</v>
      </c>
    </row>
    <row r="617" spans="1:10" ht="17.649999999999999" customHeight="1" x14ac:dyDescent="0.3">
      <c r="A617" s="4">
        <v>45870</v>
      </c>
      <c r="B617" s="5" t="s">
        <v>8</v>
      </c>
      <c r="C617" s="4">
        <v>45717</v>
      </c>
      <c r="D617" s="5" t="s">
        <v>10</v>
      </c>
      <c r="E617" s="6">
        <v>362</v>
      </c>
      <c r="F617" s="6">
        <v>278211.99447513808</v>
      </c>
      <c r="G617" s="6">
        <v>100712742</v>
      </c>
      <c r="H617" s="6">
        <v>13584769</v>
      </c>
      <c r="I617" s="6">
        <f t="shared" si="9"/>
        <v>153</v>
      </c>
      <c r="J617" t="str" cm="1">
        <f t="array" ref="J617">_xlfn.IFS(
AND(I617&gt;=89,I617&lt;=92),"D-90",
AND(I617&gt;=58,I617&lt;=62),"D-60",
AND(I617&gt;=28,I617&lt;=32),"D-30",
AND(I617=0),"당월",
TRUE,"그외")</f>
        <v>그외</v>
      </c>
    </row>
    <row r="618" spans="1:10" ht="17.649999999999999" customHeight="1" x14ac:dyDescent="0.3">
      <c r="A618" s="4">
        <v>45870</v>
      </c>
      <c r="B618" s="5" t="s">
        <v>8</v>
      </c>
      <c r="C618" s="4">
        <v>45748</v>
      </c>
      <c r="D618" s="5" t="s">
        <v>9</v>
      </c>
      <c r="E618" s="6">
        <v>26</v>
      </c>
      <c r="F618" s="6">
        <v>251884.6153846154</v>
      </c>
      <c r="G618" s="6">
        <v>6549000</v>
      </c>
      <c r="H618" s="6">
        <v>715000</v>
      </c>
      <c r="I618" s="6">
        <f t="shared" si="9"/>
        <v>122</v>
      </c>
      <c r="J618" t="str" cm="1">
        <f t="array" ref="J618">_xlfn.IFS(
AND(I618&gt;=89,I618&lt;=92),"D-90",
AND(I618&gt;=58,I618&lt;=62),"D-60",
AND(I618&gt;=28,I618&lt;=32),"D-30",
AND(I618=0),"당월",
TRUE,"그외")</f>
        <v>그외</v>
      </c>
    </row>
    <row r="619" spans="1:10" ht="17.649999999999999" customHeight="1" x14ac:dyDescent="0.3">
      <c r="A619" s="4">
        <v>45870</v>
      </c>
      <c r="B619" s="5" t="s">
        <v>8</v>
      </c>
      <c r="C619" s="4">
        <v>45748</v>
      </c>
      <c r="D619" s="5" t="s">
        <v>10</v>
      </c>
      <c r="E619" s="6">
        <v>307</v>
      </c>
      <c r="F619" s="6">
        <v>202834.335504886</v>
      </c>
      <c r="G619" s="6">
        <v>62270141</v>
      </c>
      <c r="H619" s="6">
        <v>8836430</v>
      </c>
      <c r="I619" s="6">
        <f t="shared" si="9"/>
        <v>122</v>
      </c>
      <c r="J619" t="str" cm="1">
        <f t="array" ref="J619">_xlfn.IFS(
AND(I619&gt;=89,I619&lt;=92),"D-90",
AND(I619&gt;=58,I619&lt;=62),"D-60",
AND(I619&gt;=28,I619&lt;=32),"D-30",
AND(I619=0),"당월",
TRUE,"그외")</f>
        <v>그외</v>
      </c>
    </row>
    <row r="620" spans="1:10" ht="17.649999999999999" customHeight="1" x14ac:dyDescent="0.3">
      <c r="A620" s="4">
        <v>45870</v>
      </c>
      <c r="B620" s="5" t="s">
        <v>8</v>
      </c>
      <c r="C620" s="4">
        <v>45778</v>
      </c>
      <c r="D620" s="5" t="s">
        <v>9</v>
      </c>
      <c r="E620" s="6">
        <v>366</v>
      </c>
      <c r="F620" s="6">
        <v>213061.20218579241</v>
      </c>
      <c r="G620" s="6">
        <v>77980400</v>
      </c>
      <c r="H620" s="6">
        <v>8015400</v>
      </c>
      <c r="I620" s="6">
        <f t="shared" si="9"/>
        <v>92</v>
      </c>
      <c r="J620" t="str" cm="1">
        <f t="array" ref="J620">_xlfn.IFS(
AND(I620&gt;=89,I620&lt;=92),"D-90",
AND(I620&gt;=58,I620&lt;=62),"D-60",
AND(I620&gt;=28,I620&lt;=32),"D-30",
AND(I620=0),"당월",
TRUE,"그외")</f>
        <v>D-90</v>
      </c>
    </row>
    <row r="621" spans="1:10" ht="17.649999999999999" customHeight="1" x14ac:dyDescent="0.3">
      <c r="A621" s="4">
        <v>45870</v>
      </c>
      <c r="B621" s="5" t="s">
        <v>8</v>
      </c>
      <c r="C621" s="4">
        <v>45778</v>
      </c>
      <c r="D621" s="5" t="s">
        <v>10</v>
      </c>
      <c r="E621" s="6">
        <v>1072</v>
      </c>
      <c r="F621" s="6">
        <v>221731.7481343284</v>
      </c>
      <c r="G621" s="6">
        <v>237696434</v>
      </c>
      <c r="H621" s="6">
        <v>23641144</v>
      </c>
      <c r="I621" s="6">
        <f t="shared" si="9"/>
        <v>92</v>
      </c>
      <c r="J621" t="str" cm="1">
        <f t="array" ref="J621">_xlfn.IFS(
AND(I621&gt;=89,I621&lt;=92),"D-90",
AND(I621&gt;=58,I621&lt;=62),"D-60",
AND(I621&gt;=28,I621&lt;=32),"D-30",
AND(I621=0),"당월",
TRUE,"그외")</f>
        <v>D-90</v>
      </c>
    </row>
    <row r="622" spans="1:10" ht="17.649999999999999" customHeight="1" x14ac:dyDescent="0.3">
      <c r="A622" s="4">
        <v>45870</v>
      </c>
      <c r="B622" s="5" t="s">
        <v>8</v>
      </c>
      <c r="C622" s="4">
        <v>45809</v>
      </c>
      <c r="D622" s="5" t="s">
        <v>9</v>
      </c>
      <c r="E622" s="6">
        <v>865</v>
      </c>
      <c r="F622" s="6">
        <v>203189.59537572251</v>
      </c>
      <c r="G622" s="6">
        <v>175759000</v>
      </c>
      <c r="H622" s="6">
        <v>14705000</v>
      </c>
      <c r="I622" s="6">
        <f t="shared" si="9"/>
        <v>61</v>
      </c>
      <c r="J622" t="str" cm="1">
        <f t="array" ref="J622">_xlfn.IFS(
AND(I622&gt;=89,I622&lt;=92),"D-90",
AND(I622&gt;=58,I622&lt;=62),"D-60",
AND(I622&gt;=28,I622&lt;=32),"D-30",
AND(I622=0),"당월",
TRUE,"그외")</f>
        <v>D-60</v>
      </c>
    </row>
    <row r="623" spans="1:10" ht="17.649999999999999" customHeight="1" x14ac:dyDescent="0.3">
      <c r="A623" s="4">
        <v>45870</v>
      </c>
      <c r="B623" s="5" t="s">
        <v>8</v>
      </c>
      <c r="C623" s="4">
        <v>45809</v>
      </c>
      <c r="D623" s="5" t="s">
        <v>10</v>
      </c>
      <c r="E623" s="6">
        <v>2248</v>
      </c>
      <c r="F623" s="6">
        <v>208165.40836298931</v>
      </c>
      <c r="G623" s="6">
        <v>467955838</v>
      </c>
      <c r="H623" s="6">
        <v>39758469</v>
      </c>
      <c r="I623" s="6">
        <f t="shared" si="9"/>
        <v>61</v>
      </c>
      <c r="J623" t="str" cm="1">
        <f t="array" ref="J623">_xlfn.IFS(
AND(I623&gt;=89,I623&lt;=92),"D-90",
AND(I623&gt;=58,I623&lt;=62),"D-60",
AND(I623&gt;=28,I623&lt;=32),"D-30",
AND(I623=0),"당월",
TRUE,"그외")</f>
        <v>D-60</v>
      </c>
    </row>
    <row r="624" spans="1:10" ht="17.649999999999999" customHeight="1" x14ac:dyDescent="0.3">
      <c r="A624" s="4">
        <v>45870</v>
      </c>
      <c r="B624" s="5" t="s">
        <v>8</v>
      </c>
      <c r="C624" s="4">
        <v>45839</v>
      </c>
      <c r="D624" s="5" t="s">
        <v>9</v>
      </c>
      <c r="E624" s="6">
        <v>1015</v>
      </c>
      <c r="F624" s="6">
        <v>159462.5615763547</v>
      </c>
      <c r="G624" s="6">
        <v>161854500</v>
      </c>
      <c r="H624" s="6">
        <v>16747500</v>
      </c>
      <c r="I624" s="6">
        <f t="shared" si="9"/>
        <v>31</v>
      </c>
      <c r="J624" t="str" cm="1">
        <f t="array" ref="J624">_xlfn.IFS(
AND(I624&gt;=89,I624&lt;=92),"D-90",
AND(I624&gt;=58,I624&lt;=62),"D-60",
AND(I624&gt;=28,I624&lt;=32),"D-30",
AND(I624=0),"당월",
TRUE,"그외")</f>
        <v>D-30</v>
      </c>
    </row>
    <row r="625" spans="1:10" ht="17.649999999999999" customHeight="1" x14ac:dyDescent="0.3">
      <c r="A625" s="4">
        <v>45870</v>
      </c>
      <c r="B625" s="5" t="s">
        <v>8</v>
      </c>
      <c r="C625" s="4">
        <v>45839</v>
      </c>
      <c r="D625" s="5" t="s">
        <v>10</v>
      </c>
      <c r="E625" s="6">
        <v>2447</v>
      </c>
      <c r="F625" s="6">
        <v>214367.11483449119</v>
      </c>
      <c r="G625" s="6">
        <v>524556330</v>
      </c>
      <c r="H625" s="6">
        <v>47480551</v>
      </c>
      <c r="I625" s="6">
        <f t="shared" si="9"/>
        <v>31</v>
      </c>
      <c r="J625" t="str" cm="1">
        <f t="array" ref="J625">_xlfn.IFS(
AND(I625&gt;=89,I625&lt;=92),"D-90",
AND(I625&gt;=58,I625&lt;=62),"D-60",
AND(I625&gt;=28,I625&lt;=32),"D-30",
AND(I625=0),"당월",
TRUE,"그외")</f>
        <v>D-30</v>
      </c>
    </row>
    <row r="626" spans="1:10" ht="17.649999999999999" customHeight="1" x14ac:dyDescent="0.3">
      <c r="A626" s="4">
        <v>45870</v>
      </c>
      <c r="B626" s="5" t="s">
        <v>8</v>
      </c>
      <c r="C626" s="4">
        <v>45870</v>
      </c>
      <c r="D626" s="5" t="s">
        <v>9</v>
      </c>
      <c r="E626" s="6">
        <v>233</v>
      </c>
      <c r="F626" s="6">
        <v>160952.7896995708</v>
      </c>
      <c r="G626" s="6">
        <v>37502000</v>
      </c>
      <c r="H626" s="6">
        <v>6021000</v>
      </c>
      <c r="I626" s="6">
        <f t="shared" si="9"/>
        <v>0</v>
      </c>
      <c r="J626" t="str" cm="1">
        <f t="array" ref="J626">_xlfn.IFS(
AND(I626&gt;=89,I626&lt;=92),"D-90",
AND(I626&gt;=58,I626&lt;=62),"D-60",
AND(I626&gt;=28,I626&lt;=32),"D-30",
AND(I626=0),"당월",
TRUE,"그외")</f>
        <v>당월</v>
      </c>
    </row>
    <row r="627" spans="1:10" ht="17.649999999999999" customHeight="1" x14ac:dyDescent="0.3">
      <c r="A627" s="4">
        <v>45870</v>
      </c>
      <c r="B627" s="5" t="s">
        <v>8</v>
      </c>
      <c r="C627" s="4">
        <v>45870</v>
      </c>
      <c r="D627" s="5" t="s">
        <v>10</v>
      </c>
      <c r="E627" s="6">
        <v>726</v>
      </c>
      <c r="F627" s="6">
        <v>246492.6225895317</v>
      </c>
      <c r="G627" s="6">
        <v>178953644</v>
      </c>
      <c r="H627" s="6">
        <v>20873901</v>
      </c>
      <c r="I627" s="6">
        <f t="shared" si="9"/>
        <v>0</v>
      </c>
      <c r="J627" t="str" cm="1">
        <f t="array" ref="J627">_xlfn.IFS(
AND(I627&gt;=89,I627&lt;=92),"D-90",
AND(I627&gt;=58,I627&lt;=62),"D-60",
AND(I627&gt;=28,I627&lt;=32),"D-30",
AND(I627=0),"당월",
TRUE,"그외")</f>
        <v>당월</v>
      </c>
    </row>
    <row r="628" spans="1:10" ht="17.649999999999999" customHeight="1" x14ac:dyDescent="0.3">
      <c r="A628" s="4">
        <v>45870</v>
      </c>
      <c r="B628" s="5" t="s">
        <v>11</v>
      </c>
      <c r="C628" s="4">
        <v>45778</v>
      </c>
      <c r="D628" s="5" t="s">
        <v>10</v>
      </c>
      <c r="E628" s="6">
        <v>66</v>
      </c>
      <c r="F628" s="6">
        <v>322595.45454545447</v>
      </c>
      <c r="G628" s="6">
        <v>21291300</v>
      </c>
      <c r="H628" s="6">
        <v>1846200</v>
      </c>
      <c r="I628" s="6">
        <f t="shared" si="9"/>
        <v>92</v>
      </c>
      <c r="J628" t="str" cm="1">
        <f t="array" ref="J628">_xlfn.IFS(
AND(I628&gt;=89,I628&lt;=92),"D-90",
AND(I628&gt;=58,I628&lt;=62),"D-60",
AND(I628&gt;=28,I628&lt;=32),"D-30",
AND(I628=0),"당월",
TRUE,"그외")</f>
        <v>D-90</v>
      </c>
    </row>
    <row r="629" spans="1:10" ht="17.649999999999999" customHeight="1" x14ac:dyDescent="0.3">
      <c r="A629" s="4">
        <v>45870</v>
      </c>
      <c r="B629" s="5" t="s">
        <v>11</v>
      </c>
      <c r="C629" s="4">
        <v>45809</v>
      </c>
      <c r="D629" s="5" t="s">
        <v>9</v>
      </c>
      <c r="E629" s="6">
        <v>9</v>
      </c>
      <c r="F629" s="6">
        <v>257000</v>
      </c>
      <c r="G629" s="6">
        <v>2313000</v>
      </c>
      <c r="H629" s="6">
        <v>153000</v>
      </c>
      <c r="I629" s="6">
        <f t="shared" si="9"/>
        <v>61</v>
      </c>
      <c r="J629" t="str" cm="1">
        <f t="array" ref="J629">_xlfn.IFS(
AND(I629&gt;=89,I629&lt;=92),"D-90",
AND(I629&gt;=58,I629&lt;=62),"D-60",
AND(I629&gt;=28,I629&lt;=32),"D-30",
AND(I629=0),"당월",
TRUE,"그외")</f>
        <v>D-60</v>
      </c>
    </row>
    <row r="630" spans="1:10" ht="17.649999999999999" customHeight="1" x14ac:dyDescent="0.3">
      <c r="A630" s="4">
        <v>45870</v>
      </c>
      <c r="B630" s="5" t="s">
        <v>11</v>
      </c>
      <c r="C630" s="4">
        <v>45809</v>
      </c>
      <c r="D630" s="5" t="s">
        <v>10</v>
      </c>
      <c r="E630" s="6">
        <v>39</v>
      </c>
      <c r="F630" s="6">
        <v>403074.358974359</v>
      </c>
      <c r="G630" s="6">
        <v>15719900</v>
      </c>
      <c r="H630" s="6">
        <v>695900</v>
      </c>
      <c r="I630" s="6">
        <f t="shared" si="9"/>
        <v>61</v>
      </c>
      <c r="J630" t="str" cm="1">
        <f t="array" ref="J630">_xlfn.IFS(
AND(I630&gt;=89,I630&lt;=92),"D-90",
AND(I630&gt;=58,I630&lt;=62),"D-60",
AND(I630&gt;=28,I630&lt;=32),"D-30",
AND(I630=0),"당월",
TRUE,"그외")</f>
        <v>D-60</v>
      </c>
    </row>
    <row r="631" spans="1:10" ht="17.649999999999999" customHeight="1" x14ac:dyDescent="0.3">
      <c r="A631" s="4">
        <v>45870</v>
      </c>
      <c r="B631" s="5" t="s">
        <v>11</v>
      </c>
      <c r="C631" s="4">
        <v>45839</v>
      </c>
      <c r="D631" s="5" t="s">
        <v>9</v>
      </c>
      <c r="E631" s="6">
        <v>1466</v>
      </c>
      <c r="F631" s="6">
        <v>210648.63574351979</v>
      </c>
      <c r="G631" s="6">
        <v>308810900</v>
      </c>
      <c r="H631" s="6">
        <v>24579900</v>
      </c>
      <c r="I631" s="6">
        <f t="shared" si="9"/>
        <v>31</v>
      </c>
      <c r="J631" t="str" cm="1">
        <f t="array" ref="J631">_xlfn.IFS(
AND(I631&gt;=89,I631&lt;=92),"D-90",
AND(I631&gt;=58,I631&lt;=62),"D-60",
AND(I631&gt;=28,I631&lt;=32),"D-30",
AND(I631=0),"당월",
TRUE,"그외")</f>
        <v>D-30</v>
      </c>
    </row>
    <row r="632" spans="1:10" ht="17.649999999999999" customHeight="1" x14ac:dyDescent="0.3">
      <c r="A632" s="4">
        <v>45870</v>
      </c>
      <c r="B632" s="5" t="s">
        <v>11</v>
      </c>
      <c r="C632" s="4">
        <v>45839</v>
      </c>
      <c r="D632" s="5" t="s">
        <v>10</v>
      </c>
      <c r="E632" s="6">
        <v>5368</v>
      </c>
      <c r="F632" s="6">
        <v>243747.6333830104</v>
      </c>
      <c r="G632" s="6">
        <v>1308437296</v>
      </c>
      <c r="H632" s="6">
        <v>114619267</v>
      </c>
      <c r="I632" s="6">
        <f t="shared" si="9"/>
        <v>31</v>
      </c>
      <c r="J632" t="str" cm="1">
        <f t="array" ref="J632">_xlfn.IFS(
AND(I632&gt;=89,I632&lt;=92),"D-90",
AND(I632&gt;=58,I632&lt;=62),"D-60",
AND(I632&gt;=28,I632&lt;=32),"D-30",
AND(I632=0),"당월",
TRUE,"그외")</f>
        <v>D-30</v>
      </c>
    </row>
    <row r="633" spans="1:10" ht="17.649999999999999" customHeight="1" x14ac:dyDescent="0.3">
      <c r="A633" s="4">
        <v>45870</v>
      </c>
      <c r="B633" s="5" t="s">
        <v>11</v>
      </c>
      <c r="C633" s="4">
        <v>45870</v>
      </c>
      <c r="D633" s="5" t="s">
        <v>9</v>
      </c>
      <c r="E633" s="6">
        <v>245</v>
      </c>
      <c r="F633" s="6">
        <v>155085.71428571429</v>
      </c>
      <c r="G633" s="6">
        <v>37996000</v>
      </c>
      <c r="H633" s="6">
        <v>6370000</v>
      </c>
      <c r="I633" s="6">
        <f t="shared" si="9"/>
        <v>0</v>
      </c>
      <c r="J633" t="str" cm="1">
        <f t="array" ref="J633">_xlfn.IFS(
AND(I633&gt;=89,I633&lt;=92),"D-90",
AND(I633&gt;=58,I633&lt;=62),"D-60",
AND(I633&gt;=28,I633&lt;=32),"D-30",
AND(I633=0),"당월",
TRUE,"그외")</f>
        <v>당월</v>
      </c>
    </row>
    <row r="634" spans="1:10" ht="17.649999999999999" customHeight="1" x14ac:dyDescent="0.3">
      <c r="A634" s="4">
        <v>45870</v>
      </c>
      <c r="B634" s="5" t="s">
        <v>11</v>
      </c>
      <c r="C634" s="4">
        <v>45870</v>
      </c>
      <c r="D634" s="5" t="s">
        <v>10</v>
      </c>
      <c r="E634" s="6">
        <v>1154</v>
      </c>
      <c r="F634" s="6">
        <v>213999.99480069321</v>
      </c>
      <c r="G634" s="6">
        <v>246955994</v>
      </c>
      <c r="H634" s="6">
        <v>28543785</v>
      </c>
      <c r="I634" s="6">
        <f t="shared" si="9"/>
        <v>0</v>
      </c>
      <c r="J634" t="str" cm="1">
        <f t="array" ref="J634">_xlfn.IFS(
AND(I634&gt;=89,I634&lt;=92),"D-90",
AND(I634&gt;=58,I634&lt;=62),"D-60",
AND(I634&gt;=28,I634&lt;=32),"D-30",
AND(I634=0),"당월",
TRUE,"그외")</f>
        <v>당월</v>
      </c>
    </row>
    <row r="635" spans="1:10" ht="17.649999999999999" customHeight="1" x14ac:dyDescent="0.3">
      <c r="A635" s="4">
        <v>45870</v>
      </c>
      <c r="B635" s="5" t="s">
        <v>12</v>
      </c>
      <c r="C635" s="4">
        <v>45778</v>
      </c>
      <c r="D635" s="5" t="s">
        <v>9</v>
      </c>
      <c r="E635" s="6">
        <v>23</v>
      </c>
      <c r="F635" s="6">
        <v>289882.60869565222</v>
      </c>
      <c r="G635" s="6">
        <v>6667300</v>
      </c>
      <c r="H635" s="6">
        <v>537300</v>
      </c>
      <c r="I635" s="6">
        <f t="shared" si="9"/>
        <v>92</v>
      </c>
      <c r="J635" t="str" cm="1">
        <f t="array" ref="J635">_xlfn.IFS(
AND(I635&gt;=89,I635&lt;=92),"D-90",
AND(I635&gt;=58,I635&lt;=62),"D-60",
AND(I635&gt;=28,I635&lt;=32),"D-30",
AND(I635=0),"당월",
TRUE,"그외")</f>
        <v>D-90</v>
      </c>
    </row>
    <row r="636" spans="1:10" ht="17.649999999999999" customHeight="1" x14ac:dyDescent="0.3">
      <c r="A636" s="4">
        <v>45870</v>
      </c>
      <c r="B636" s="5" t="s">
        <v>12</v>
      </c>
      <c r="C636" s="4">
        <v>45778</v>
      </c>
      <c r="D636" s="5" t="s">
        <v>10</v>
      </c>
      <c r="E636" s="6">
        <v>231</v>
      </c>
      <c r="F636" s="6">
        <v>389101.28138528141</v>
      </c>
      <c r="G636" s="6">
        <v>89882396</v>
      </c>
      <c r="H636" s="6">
        <v>6443916</v>
      </c>
      <c r="I636" s="6">
        <f t="shared" si="9"/>
        <v>92</v>
      </c>
      <c r="J636" t="str" cm="1">
        <f t="array" ref="J636">_xlfn.IFS(
AND(I636&gt;=89,I636&lt;=92),"D-90",
AND(I636&gt;=58,I636&lt;=62),"D-60",
AND(I636&gt;=28,I636&lt;=32),"D-30",
AND(I636=0),"당월",
TRUE,"그외")</f>
        <v>D-90</v>
      </c>
    </row>
    <row r="637" spans="1:10" ht="17.649999999999999" customHeight="1" x14ac:dyDescent="0.3">
      <c r="A637" s="4">
        <v>45870</v>
      </c>
      <c r="B637" s="5" t="s">
        <v>12</v>
      </c>
      <c r="C637" s="4">
        <v>45809</v>
      </c>
      <c r="D637" s="5" t="s">
        <v>9</v>
      </c>
      <c r="E637" s="6">
        <v>18</v>
      </c>
      <c r="F637" s="6">
        <v>287111.11111111112</v>
      </c>
      <c r="G637" s="6">
        <v>5168000</v>
      </c>
      <c r="H637" s="6">
        <v>306000</v>
      </c>
      <c r="I637" s="6">
        <f t="shared" si="9"/>
        <v>61</v>
      </c>
      <c r="J637" t="str" cm="1">
        <f t="array" ref="J637">_xlfn.IFS(
AND(I637&gt;=89,I637&lt;=92),"D-90",
AND(I637&gt;=58,I637&lt;=62),"D-60",
AND(I637&gt;=28,I637&lt;=32),"D-30",
AND(I637=0),"당월",
TRUE,"그외")</f>
        <v>D-60</v>
      </c>
    </row>
    <row r="638" spans="1:10" ht="17.649999999999999" customHeight="1" x14ac:dyDescent="0.3">
      <c r="A638" s="4">
        <v>45870</v>
      </c>
      <c r="B638" s="5" t="s">
        <v>12</v>
      </c>
      <c r="C638" s="4">
        <v>45809</v>
      </c>
      <c r="D638" s="5" t="s">
        <v>10</v>
      </c>
      <c r="E638" s="6">
        <v>203</v>
      </c>
      <c r="F638" s="6">
        <v>364906.89655172412</v>
      </c>
      <c r="G638" s="6">
        <v>74076100</v>
      </c>
      <c r="H638" s="6">
        <v>4270200</v>
      </c>
      <c r="I638" s="6">
        <f t="shared" si="9"/>
        <v>61</v>
      </c>
      <c r="J638" t="str" cm="1">
        <f t="array" ref="J638">_xlfn.IFS(
AND(I638&gt;=89,I638&lt;=92),"D-90",
AND(I638&gt;=58,I638&lt;=62),"D-60",
AND(I638&gt;=28,I638&lt;=32),"D-30",
AND(I638=0),"당월",
TRUE,"그외")</f>
        <v>D-60</v>
      </c>
    </row>
    <row r="639" spans="1:10" ht="17.649999999999999" customHeight="1" x14ac:dyDescent="0.3">
      <c r="A639" s="4">
        <v>45870</v>
      </c>
      <c r="B639" s="5" t="s">
        <v>12</v>
      </c>
      <c r="C639" s="4">
        <v>45839</v>
      </c>
      <c r="D639" s="5" t="s">
        <v>9</v>
      </c>
      <c r="E639" s="6">
        <v>1890</v>
      </c>
      <c r="F639" s="6">
        <v>200637.8835978836</v>
      </c>
      <c r="G639" s="6">
        <v>379205600</v>
      </c>
      <c r="H639" s="6">
        <v>31763600</v>
      </c>
      <c r="I639" s="6">
        <f t="shared" si="9"/>
        <v>31</v>
      </c>
      <c r="J639" t="str" cm="1">
        <f t="array" ref="J639">_xlfn.IFS(
AND(I639&gt;=89,I639&lt;=92),"D-90",
AND(I639&gt;=58,I639&lt;=62),"D-60",
AND(I639&gt;=28,I639&lt;=32),"D-30",
AND(I639=0),"당월",
TRUE,"그외")</f>
        <v>D-30</v>
      </c>
    </row>
    <row r="640" spans="1:10" ht="17.649999999999999" customHeight="1" x14ac:dyDescent="0.3">
      <c r="A640" s="4">
        <v>45870</v>
      </c>
      <c r="B640" s="5" t="s">
        <v>12</v>
      </c>
      <c r="C640" s="4">
        <v>45839</v>
      </c>
      <c r="D640" s="5" t="s">
        <v>10</v>
      </c>
      <c r="E640" s="6">
        <v>5696</v>
      </c>
      <c r="F640" s="6">
        <v>231376.24771769659</v>
      </c>
      <c r="G640" s="6">
        <v>1317919107</v>
      </c>
      <c r="H640" s="6">
        <v>110690750</v>
      </c>
      <c r="I640" s="6">
        <f t="shared" si="9"/>
        <v>31</v>
      </c>
      <c r="J640" t="str" cm="1">
        <f t="array" ref="J640">_xlfn.IFS(
AND(I640&gt;=89,I640&lt;=92),"D-90",
AND(I640&gt;=58,I640&lt;=62),"D-60",
AND(I640&gt;=28,I640&lt;=32),"D-30",
AND(I640=0),"당월",
TRUE,"그외")</f>
        <v>D-30</v>
      </c>
    </row>
    <row r="641" spans="1:10" ht="17.649999999999999" customHeight="1" x14ac:dyDescent="0.3">
      <c r="A641" s="4">
        <v>45870</v>
      </c>
      <c r="B641" s="5" t="s">
        <v>12</v>
      </c>
      <c r="C641" s="4">
        <v>45870</v>
      </c>
      <c r="D641" s="5" t="s">
        <v>9</v>
      </c>
      <c r="E641" s="6">
        <v>376</v>
      </c>
      <c r="F641" s="6">
        <v>185352.3936170213</v>
      </c>
      <c r="G641" s="6">
        <v>69692500</v>
      </c>
      <c r="H641" s="6">
        <v>9614500</v>
      </c>
      <c r="I641" s="6">
        <f t="shared" si="9"/>
        <v>0</v>
      </c>
      <c r="J641" t="str" cm="1">
        <f t="array" ref="J641">_xlfn.IFS(
AND(I641&gt;=89,I641&lt;=92),"D-90",
AND(I641&gt;=58,I641&lt;=62),"D-60",
AND(I641&gt;=28,I641&lt;=32),"D-30",
AND(I641=0),"당월",
TRUE,"그외")</f>
        <v>당월</v>
      </c>
    </row>
    <row r="642" spans="1:10" ht="17.649999999999999" customHeight="1" x14ac:dyDescent="0.3">
      <c r="A642" s="4">
        <v>45870</v>
      </c>
      <c r="B642" s="5" t="s">
        <v>12</v>
      </c>
      <c r="C642" s="4">
        <v>45870</v>
      </c>
      <c r="D642" s="5" t="s">
        <v>10</v>
      </c>
      <c r="E642" s="6">
        <v>1063</v>
      </c>
      <c r="F642" s="6">
        <v>212625.57666980251</v>
      </c>
      <c r="G642" s="6">
        <v>226020988</v>
      </c>
      <c r="H642" s="6">
        <v>27270129</v>
      </c>
      <c r="I642" s="6">
        <f t="shared" si="9"/>
        <v>0</v>
      </c>
      <c r="J642" t="str" cm="1">
        <f t="array" ref="J642">_xlfn.IFS(
AND(I642&gt;=89,I642&lt;=92),"D-90",
AND(I642&gt;=58,I642&lt;=62),"D-60",
AND(I642&gt;=28,I642&lt;=32),"D-30",
AND(I642=0),"당월",
TRUE,"그외")</f>
        <v>당월</v>
      </c>
    </row>
    <row r="643" spans="1:10" ht="17.649999999999999" customHeight="1" x14ac:dyDescent="0.3">
      <c r="A643" s="4">
        <v>45901</v>
      </c>
      <c r="B643" s="5" t="s">
        <v>8</v>
      </c>
      <c r="C643" s="4">
        <v>45658</v>
      </c>
      <c r="D643" s="5" t="s">
        <v>10</v>
      </c>
      <c r="E643" s="6">
        <v>13</v>
      </c>
      <c r="F643" s="6">
        <v>161000</v>
      </c>
      <c r="G643" s="6">
        <v>2093000</v>
      </c>
      <c r="H643" s="6">
        <v>403000</v>
      </c>
      <c r="I643" s="6">
        <f t="shared" ref="I643:I706" si="10">A643-C643</f>
        <v>243</v>
      </c>
      <c r="J643" t="str" cm="1">
        <f t="array" ref="J643">_xlfn.IFS(
AND(I643&gt;=89,I643&lt;=92),"D-90",
AND(I643&gt;=58,I643&lt;=62),"D-60",
AND(I643&gt;=28,I643&lt;=32),"D-30",
AND(I643=0),"당월",
TRUE,"그외")</f>
        <v>그외</v>
      </c>
    </row>
    <row r="644" spans="1:10" ht="17.649999999999999" customHeight="1" x14ac:dyDescent="0.3">
      <c r="A644" s="4">
        <v>45901</v>
      </c>
      <c r="B644" s="5" t="s">
        <v>8</v>
      </c>
      <c r="C644" s="4">
        <v>45689</v>
      </c>
      <c r="D644" s="5" t="s">
        <v>10</v>
      </c>
      <c r="E644" s="6">
        <v>131</v>
      </c>
      <c r="F644" s="6">
        <v>104809.92366412211</v>
      </c>
      <c r="G644" s="6">
        <v>13730100</v>
      </c>
      <c r="H644" s="6">
        <v>4205100</v>
      </c>
      <c r="I644" s="6">
        <f t="shared" si="10"/>
        <v>212</v>
      </c>
      <c r="J644" t="str" cm="1">
        <f t="array" ref="J644">_xlfn.IFS(
AND(I644&gt;=89,I644&lt;=92),"D-90",
AND(I644&gt;=58,I644&lt;=62),"D-60",
AND(I644&gt;=28,I644&lt;=32),"D-30",
AND(I644=0),"당월",
TRUE,"그외")</f>
        <v>그외</v>
      </c>
    </row>
    <row r="645" spans="1:10" ht="17.649999999999999" customHeight="1" x14ac:dyDescent="0.3">
      <c r="A645" s="4">
        <v>45901</v>
      </c>
      <c r="B645" s="5" t="s">
        <v>8</v>
      </c>
      <c r="C645" s="4">
        <v>45717</v>
      </c>
      <c r="D645" s="5" t="s">
        <v>10</v>
      </c>
      <c r="E645" s="6">
        <v>97</v>
      </c>
      <c r="F645" s="6">
        <v>161431.28865979379</v>
      </c>
      <c r="G645" s="6">
        <v>15658835</v>
      </c>
      <c r="H645" s="6">
        <v>3676145</v>
      </c>
      <c r="I645" s="6">
        <f t="shared" si="10"/>
        <v>184</v>
      </c>
      <c r="J645" t="str" cm="1">
        <f t="array" ref="J645">_xlfn.IFS(
AND(I645&gt;=89,I645&lt;=92),"D-90",
AND(I645&gt;=58,I645&lt;=62),"D-60",
AND(I645&gt;=28,I645&lt;=32),"D-30",
AND(I645=0),"당월",
TRUE,"그외")</f>
        <v>그외</v>
      </c>
    </row>
    <row r="646" spans="1:10" ht="17.649999999999999" customHeight="1" x14ac:dyDescent="0.3">
      <c r="A646" s="4">
        <v>45901</v>
      </c>
      <c r="B646" s="5" t="s">
        <v>8</v>
      </c>
      <c r="C646" s="4">
        <v>45748</v>
      </c>
      <c r="D646" s="5" t="s">
        <v>9</v>
      </c>
      <c r="E646" s="6">
        <v>20</v>
      </c>
      <c r="F646" s="6">
        <v>107500</v>
      </c>
      <c r="G646" s="6">
        <v>2150000</v>
      </c>
      <c r="H646" s="6">
        <v>550000</v>
      </c>
      <c r="I646" s="6">
        <f t="shared" si="10"/>
        <v>153</v>
      </c>
      <c r="J646" t="str" cm="1">
        <f t="array" ref="J646">_xlfn.IFS(
AND(I646&gt;=89,I646&lt;=92),"D-90",
AND(I646&gt;=58,I646&lt;=62),"D-60",
AND(I646&gt;=28,I646&lt;=32),"D-30",
AND(I646=0),"당월",
TRUE,"그외")</f>
        <v>그외</v>
      </c>
    </row>
    <row r="647" spans="1:10" ht="17.649999999999999" customHeight="1" x14ac:dyDescent="0.3">
      <c r="A647" s="4">
        <v>45901</v>
      </c>
      <c r="B647" s="5" t="s">
        <v>8</v>
      </c>
      <c r="C647" s="4">
        <v>45748</v>
      </c>
      <c r="D647" s="5" t="s">
        <v>10</v>
      </c>
      <c r="E647" s="6">
        <v>239</v>
      </c>
      <c r="F647" s="6">
        <v>130285.1464435146</v>
      </c>
      <c r="G647" s="6">
        <v>31138150</v>
      </c>
      <c r="H647" s="6">
        <v>6797550</v>
      </c>
      <c r="I647" s="6">
        <f t="shared" si="10"/>
        <v>153</v>
      </c>
      <c r="J647" t="str" cm="1">
        <f t="array" ref="J647">_xlfn.IFS(
AND(I647&gt;=89,I647&lt;=92),"D-90",
AND(I647&gt;=58,I647&lt;=62),"D-60",
AND(I647&gt;=28,I647&lt;=32),"D-30",
AND(I647=0),"당월",
TRUE,"그외")</f>
        <v>그외</v>
      </c>
    </row>
    <row r="648" spans="1:10" ht="17.649999999999999" customHeight="1" x14ac:dyDescent="0.3">
      <c r="A648" s="4">
        <v>45901</v>
      </c>
      <c r="B648" s="5" t="s">
        <v>8</v>
      </c>
      <c r="C648" s="4">
        <v>45778</v>
      </c>
      <c r="D648" s="5" t="s">
        <v>9</v>
      </c>
      <c r="E648" s="6">
        <v>596</v>
      </c>
      <c r="F648" s="6">
        <v>108987.2483221477</v>
      </c>
      <c r="G648" s="6">
        <v>64956400</v>
      </c>
      <c r="H648" s="6">
        <v>13052400</v>
      </c>
      <c r="I648" s="6">
        <f t="shared" si="10"/>
        <v>123</v>
      </c>
      <c r="J648" t="str" cm="1">
        <f t="array" ref="J648">_xlfn.IFS(
AND(I648&gt;=89,I648&lt;=92),"D-90",
AND(I648&gt;=58,I648&lt;=62),"D-60",
AND(I648&gt;=28,I648&lt;=32),"D-30",
AND(I648=0),"당월",
TRUE,"그외")</f>
        <v>그외</v>
      </c>
    </row>
    <row r="649" spans="1:10" ht="17.649999999999999" customHeight="1" x14ac:dyDescent="0.3">
      <c r="A649" s="4">
        <v>45901</v>
      </c>
      <c r="B649" s="5" t="s">
        <v>8</v>
      </c>
      <c r="C649" s="4">
        <v>45778</v>
      </c>
      <c r="D649" s="5" t="s">
        <v>10</v>
      </c>
      <c r="E649" s="6">
        <v>302</v>
      </c>
      <c r="F649" s="6">
        <v>132880.1523178808</v>
      </c>
      <c r="G649" s="6">
        <v>40129806</v>
      </c>
      <c r="H649" s="6">
        <v>6914108</v>
      </c>
      <c r="I649" s="6">
        <f t="shared" si="10"/>
        <v>123</v>
      </c>
      <c r="J649" t="str" cm="1">
        <f t="array" ref="J649">_xlfn.IFS(
AND(I649&gt;=89,I649&lt;=92),"D-90",
AND(I649&gt;=58,I649&lt;=62),"D-60",
AND(I649&gt;=28,I649&lt;=32),"D-30",
AND(I649=0),"당월",
TRUE,"그외")</f>
        <v>그외</v>
      </c>
    </row>
    <row r="650" spans="1:10" ht="17.649999999999999" customHeight="1" x14ac:dyDescent="0.3">
      <c r="A650" s="4">
        <v>45901</v>
      </c>
      <c r="B650" s="5" t="s">
        <v>8</v>
      </c>
      <c r="C650" s="4">
        <v>45809</v>
      </c>
      <c r="D650" s="5" t="s">
        <v>9</v>
      </c>
      <c r="E650" s="6">
        <v>110</v>
      </c>
      <c r="F650" s="6">
        <v>116363.6363636364</v>
      </c>
      <c r="G650" s="6">
        <v>12800000</v>
      </c>
      <c r="H650" s="6">
        <v>1870000</v>
      </c>
      <c r="I650" s="6">
        <f t="shared" si="10"/>
        <v>92</v>
      </c>
      <c r="J650" t="str" cm="1">
        <f t="array" ref="J650">_xlfn.IFS(
AND(I650&gt;=89,I650&lt;=92),"D-90",
AND(I650&gt;=58,I650&lt;=62),"D-60",
AND(I650&gt;=28,I650&lt;=32),"D-30",
AND(I650=0),"당월",
TRUE,"그외")</f>
        <v>D-90</v>
      </c>
    </row>
    <row r="651" spans="1:10" ht="17.649999999999999" customHeight="1" x14ac:dyDescent="0.3">
      <c r="A651" s="4">
        <v>45901</v>
      </c>
      <c r="B651" s="5" t="s">
        <v>8</v>
      </c>
      <c r="C651" s="4">
        <v>45809</v>
      </c>
      <c r="D651" s="5" t="s">
        <v>10</v>
      </c>
      <c r="E651" s="6">
        <v>769</v>
      </c>
      <c r="F651" s="6">
        <v>138916.5942782835</v>
      </c>
      <c r="G651" s="6">
        <v>106826861</v>
      </c>
      <c r="H651" s="6">
        <v>14182020</v>
      </c>
      <c r="I651" s="6">
        <f t="shared" si="10"/>
        <v>92</v>
      </c>
      <c r="J651" t="str" cm="1">
        <f t="array" ref="J651">_xlfn.IFS(
AND(I651&gt;=89,I651&lt;=92),"D-90",
AND(I651&gt;=58,I651&lt;=62),"D-60",
AND(I651&gt;=28,I651&lt;=32),"D-30",
AND(I651=0),"당월",
TRUE,"그외")</f>
        <v>D-90</v>
      </c>
    </row>
    <row r="652" spans="1:10" ht="17.649999999999999" customHeight="1" x14ac:dyDescent="0.3">
      <c r="A652" s="4">
        <v>45901</v>
      </c>
      <c r="B652" s="5" t="s">
        <v>8</v>
      </c>
      <c r="C652" s="4">
        <v>45839</v>
      </c>
      <c r="D652" s="5" t="s">
        <v>9</v>
      </c>
      <c r="E652" s="6">
        <v>1502</v>
      </c>
      <c r="F652" s="6">
        <v>102500.6657789614</v>
      </c>
      <c r="G652" s="6">
        <v>153956000</v>
      </c>
      <c r="H652" s="6">
        <v>24783000</v>
      </c>
      <c r="I652" s="6">
        <f t="shared" si="10"/>
        <v>62</v>
      </c>
      <c r="J652" t="str" cm="1">
        <f t="array" ref="J652">_xlfn.IFS(
AND(I652&gt;=89,I652&lt;=92),"D-90",
AND(I652&gt;=58,I652&lt;=62),"D-60",
AND(I652&gt;=28,I652&lt;=32),"D-30",
AND(I652=0),"당월",
TRUE,"그외")</f>
        <v>D-60</v>
      </c>
    </row>
    <row r="653" spans="1:10" ht="17.649999999999999" customHeight="1" x14ac:dyDescent="0.3">
      <c r="A653" s="4">
        <v>45901</v>
      </c>
      <c r="B653" s="5" t="s">
        <v>8</v>
      </c>
      <c r="C653" s="4">
        <v>45839</v>
      </c>
      <c r="D653" s="5" t="s">
        <v>10</v>
      </c>
      <c r="E653" s="6">
        <v>2541</v>
      </c>
      <c r="F653" s="6">
        <v>140635.81818181821</v>
      </c>
      <c r="G653" s="6">
        <v>357355614</v>
      </c>
      <c r="H653" s="6">
        <v>44201861</v>
      </c>
      <c r="I653" s="6">
        <f t="shared" si="10"/>
        <v>62</v>
      </c>
      <c r="J653" t="str" cm="1">
        <f t="array" ref="J653">_xlfn.IFS(
AND(I653&gt;=89,I653&lt;=92),"D-90",
AND(I653&gt;=58,I653&lt;=62),"D-60",
AND(I653&gt;=28,I653&lt;=32),"D-30",
AND(I653=0),"당월",
TRUE,"그외")</f>
        <v>D-60</v>
      </c>
    </row>
    <row r="654" spans="1:10" ht="17.649999999999999" customHeight="1" x14ac:dyDescent="0.3">
      <c r="A654" s="4">
        <v>45901</v>
      </c>
      <c r="B654" s="5" t="s">
        <v>8</v>
      </c>
      <c r="C654" s="4">
        <v>45870</v>
      </c>
      <c r="D654" s="5" t="s">
        <v>9</v>
      </c>
      <c r="E654" s="6">
        <v>1154</v>
      </c>
      <c r="F654" s="6">
        <v>117270.3639514731</v>
      </c>
      <c r="G654" s="6">
        <v>135330000</v>
      </c>
      <c r="H654" s="6">
        <v>29928000</v>
      </c>
      <c r="I654" s="6">
        <f t="shared" si="10"/>
        <v>31</v>
      </c>
      <c r="J654" t="str" cm="1">
        <f t="array" ref="J654">_xlfn.IFS(
AND(I654&gt;=89,I654&lt;=92),"D-90",
AND(I654&gt;=58,I654&lt;=62),"D-60",
AND(I654&gt;=28,I654&lt;=32),"D-30",
AND(I654=0),"당월",
TRUE,"그외")</f>
        <v>D-30</v>
      </c>
    </row>
    <row r="655" spans="1:10" ht="17.649999999999999" customHeight="1" x14ac:dyDescent="0.3">
      <c r="A655" s="4">
        <v>45901</v>
      </c>
      <c r="B655" s="5" t="s">
        <v>8</v>
      </c>
      <c r="C655" s="4">
        <v>45870</v>
      </c>
      <c r="D655" s="5" t="s">
        <v>10</v>
      </c>
      <c r="E655" s="6">
        <v>1860</v>
      </c>
      <c r="F655" s="6">
        <v>159623.802688172</v>
      </c>
      <c r="G655" s="6">
        <v>296900273</v>
      </c>
      <c r="H655" s="6">
        <v>51860732</v>
      </c>
      <c r="I655" s="6">
        <f t="shared" si="10"/>
        <v>31</v>
      </c>
      <c r="J655" t="str" cm="1">
        <f t="array" ref="J655">_xlfn.IFS(
AND(I655&gt;=89,I655&lt;=92),"D-90",
AND(I655&gt;=58,I655&lt;=62),"D-60",
AND(I655&gt;=28,I655&lt;=32),"D-30",
AND(I655=0),"당월",
TRUE,"그외")</f>
        <v>D-30</v>
      </c>
    </row>
    <row r="656" spans="1:10" ht="17.649999999999999" customHeight="1" x14ac:dyDescent="0.3">
      <c r="A656" s="4">
        <v>45901</v>
      </c>
      <c r="B656" s="5" t="s">
        <v>8</v>
      </c>
      <c r="C656" s="4">
        <v>45901</v>
      </c>
      <c r="D656" s="5" t="s">
        <v>9</v>
      </c>
      <c r="E656" s="6">
        <v>116</v>
      </c>
      <c r="F656" s="6">
        <v>149372.41379310339</v>
      </c>
      <c r="G656" s="6">
        <v>17327200</v>
      </c>
      <c r="H656" s="6">
        <v>3050200</v>
      </c>
      <c r="I656" s="6">
        <f t="shared" si="10"/>
        <v>0</v>
      </c>
      <c r="J656" t="str" cm="1">
        <f t="array" ref="J656">_xlfn.IFS(
AND(I656&gt;=89,I656&lt;=92),"D-90",
AND(I656&gt;=58,I656&lt;=62),"D-60",
AND(I656&gt;=28,I656&lt;=32),"D-30",
AND(I656=0),"당월",
TRUE,"그외")</f>
        <v>당월</v>
      </c>
    </row>
    <row r="657" spans="1:10" ht="17.649999999999999" customHeight="1" x14ac:dyDescent="0.3">
      <c r="A657" s="4">
        <v>45901</v>
      </c>
      <c r="B657" s="5" t="s">
        <v>8</v>
      </c>
      <c r="C657" s="4">
        <v>45901</v>
      </c>
      <c r="D657" s="5" t="s">
        <v>10</v>
      </c>
      <c r="E657" s="6">
        <v>1010</v>
      </c>
      <c r="F657" s="6">
        <v>138270.73861386141</v>
      </c>
      <c r="G657" s="6">
        <v>139653446</v>
      </c>
      <c r="H657" s="6">
        <v>27955594</v>
      </c>
      <c r="I657" s="6">
        <f t="shared" si="10"/>
        <v>0</v>
      </c>
      <c r="J657" t="str" cm="1">
        <f t="array" ref="J657">_xlfn.IFS(
AND(I657&gt;=89,I657&lt;=92),"D-90",
AND(I657&gt;=58,I657&lt;=62),"D-60",
AND(I657&gt;=28,I657&lt;=32),"D-30",
AND(I657=0),"당월",
TRUE,"그외")</f>
        <v>당월</v>
      </c>
    </row>
    <row r="658" spans="1:10" ht="17.649999999999999" customHeight="1" x14ac:dyDescent="0.3">
      <c r="A658" s="4">
        <v>45901</v>
      </c>
      <c r="B658" s="5" t="s">
        <v>11</v>
      </c>
      <c r="C658" s="4">
        <v>45839</v>
      </c>
      <c r="D658" s="5" t="s">
        <v>9</v>
      </c>
      <c r="E658" s="6">
        <v>856</v>
      </c>
      <c r="F658" s="6">
        <v>118816.00467289719</v>
      </c>
      <c r="G658" s="6">
        <v>101706500</v>
      </c>
      <c r="H658" s="6">
        <v>14274500</v>
      </c>
      <c r="I658" s="6">
        <f t="shared" si="10"/>
        <v>62</v>
      </c>
      <c r="J658" t="str" cm="1">
        <f t="array" ref="J658">_xlfn.IFS(
AND(I658&gt;=89,I658&lt;=92),"D-90",
AND(I658&gt;=58,I658&lt;=62),"D-60",
AND(I658&gt;=28,I658&lt;=32),"D-30",
AND(I658=0),"당월",
TRUE,"그외")</f>
        <v>D-60</v>
      </c>
    </row>
    <row r="659" spans="1:10" ht="17.649999999999999" customHeight="1" x14ac:dyDescent="0.3">
      <c r="A659" s="4">
        <v>45901</v>
      </c>
      <c r="B659" s="5" t="s">
        <v>11</v>
      </c>
      <c r="C659" s="4">
        <v>45839</v>
      </c>
      <c r="D659" s="5" t="s">
        <v>10</v>
      </c>
      <c r="E659" s="6">
        <v>2675</v>
      </c>
      <c r="F659" s="6">
        <v>155343.99813084109</v>
      </c>
      <c r="G659" s="6">
        <v>415545195</v>
      </c>
      <c r="H659" s="6">
        <v>55497738</v>
      </c>
      <c r="I659" s="6">
        <f t="shared" si="10"/>
        <v>62</v>
      </c>
      <c r="J659" t="str" cm="1">
        <f t="array" ref="J659">_xlfn.IFS(
AND(I659&gt;=89,I659&lt;=92),"D-90",
AND(I659&gt;=58,I659&lt;=62),"D-60",
AND(I659&gt;=28,I659&lt;=32),"D-30",
AND(I659=0),"당월",
TRUE,"그외")</f>
        <v>D-60</v>
      </c>
    </row>
    <row r="660" spans="1:10" ht="17.649999999999999" customHeight="1" x14ac:dyDescent="0.3">
      <c r="A660" s="4">
        <v>45901</v>
      </c>
      <c r="B660" s="5" t="s">
        <v>11</v>
      </c>
      <c r="C660" s="4">
        <v>45870</v>
      </c>
      <c r="D660" s="5" t="s">
        <v>9</v>
      </c>
      <c r="E660" s="6">
        <v>1061</v>
      </c>
      <c r="F660" s="6">
        <v>126502.356267672</v>
      </c>
      <c r="G660" s="6">
        <v>134219000</v>
      </c>
      <c r="H660" s="6">
        <v>27568000</v>
      </c>
      <c r="I660" s="6">
        <f t="shared" si="10"/>
        <v>31</v>
      </c>
      <c r="J660" t="str" cm="1">
        <f t="array" ref="J660">_xlfn.IFS(
AND(I660&gt;=89,I660&lt;=92),"D-90",
AND(I660&gt;=58,I660&lt;=62),"D-60",
AND(I660&gt;=28,I660&lt;=32),"D-30",
AND(I660=0),"당월",
TRUE,"그외")</f>
        <v>D-30</v>
      </c>
    </row>
    <row r="661" spans="1:10" ht="17.649999999999999" customHeight="1" x14ac:dyDescent="0.3">
      <c r="A661" s="4">
        <v>45901</v>
      </c>
      <c r="B661" s="5" t="s">
        <v>11</v>
      </c>
      <c r="C661" s="4">
        <v>45870</v>
      </c>
      <c r="D661" s="5" t="s">
        <v>10</v>
      </c>
      <c r="E661" s="6">
        <v>2745</v>
      </c>
      <c r="F661" s="6">
        <v>141923.17049180329</v>
      </c>
      <c r="G661" s="6">
        <v>389579103</v>
      </c>
      <c r="H661" s="6">
        <v>71450854</v>
      </c>
      <c r="I661" s="6">
        <f t="shared" si="10"/>
        <v>31</v>
      </c>
      <c r="J661" t="str" cm="1">
        <f t="array" ref="J661">_xlfn.IFS(
AND(I661&gt;=89,I661&lt;=92),"D-90",
AND(I661&gt;=58,I661&lt;=62),"D-60",
AND(I661&gt;=28,I661&lt;=32),"D-30",
AND(I661=0),"당월",
TRUE,"그외")</f>
        <v>D-30</v>
      </c>
    </row>
    <row r="662" spans="1:10" ht="17.649999999999999" customHeight="1" x14ac:dyDescent="0.3">
      <c r="A662" s="4">
        <v>45901</v>
      </c>
      <c r="B662" s="5" t="s">
        <v>11</v>
      </c>
      <c r="C662" s="4">
        <v>45901</v>
      </c>
      <c r="D662" s="5" t="s">
        <v>9</v>
      </c>
      <c r="E662" s="6">
        <v>396</v>
      </c>
      <c r="F662" s="6">
        <v>110254.5454545455</v>
      </c>
      <c r="G662" s="6">
        <v>43660800</v>
      </c>
      <c r="H662" s="6">
        <v>10393800</v>
      </c>
      <c r="I662" s="6">
        <f t="shared" si="10"/>
        <v>0</v>
      </c>
      <c r="J662" t="str" cm="1">
        <f t="array" ref="J662">_xlfn.IFS(
AND(I662&gt;=89,I662&lt;=92),"D-90",
AND(I662&gt;=58,I662&lt;=62),"D-60",
AND(I662&gt;=28,I662&lt;=32),"D-30",
AND(I662=0),"당월",
TRUE,"그외")</f>
        <v>당월</v>
      </c>
    </row>
    <row r="663" spans="1:10" ht="17.649999999999999" customHeight="1" x14ac:dyDescent="0.3">
      <c r="A663" s="4">
        <v>45901</v>
      </c>
      <c r="B663" s="5" t="s">
        <v>11</v>
      </c>
      <c r="C663" s="4">
        <v>45901</v>
      </c>
      <c r="D663" s="5" t="s">
        <v>10</v>
      </c>
      <c r="E663" s="6">
        <v>1646</v>
      </c>
      <c r="F663" s="6">
        <v>127731.2345078979</v>
      </c>
      <c r="G663" s="6">
        <v>210245612</v>
      </c>
      <c r="H663" s="6">
        <v>43219240</v>
      </c>
      <c r="I663" s="6">
        <f t="shared" si="10"/>
        <v>0</v>
      </c>
      <c r="J663" t="str" cm="1">
        <f t="array" ref="J663">_xlfn.IFS(
AND(I663&gt;=89,I663&lt;=92),"D-90",
AND(I663&gt;=58,I663&lt;=62),"D-60",
AND(I663&gt;=28,I663&lt;=32),"D-30",
AND(I663=0),"당월",
TRUE,"그외")</f>
        <v>당월</v>
      </c>
    </row>
    <row r="664" spans="1:10" ht="17.649999999999999" customHeight="1" x14ac:dyDescent="0.3">
      <c r="A664" s="4">
        <v>45901</v>
      </c>
      <c r="B664" s="5" t="s">
        <v>12</v>
      </c>
      <c r="C664" s="4">
        <v>45839</v>
      </c>
      <c r="D664" s="5" t="s">
        <v>9</v>
      </c>
      <c r="E664" s="6">
        <v>1293</v>
      </c>
      <c r="F664" s="6">
        <v>116611.36890951281</v>
      </c>
      <c r="G664" s="6">
        <v>150778500</v>
      </c>
      <c r="H664" s="6">
        <v>21646500</v>
      </c>
      <c r="I664" s="6">
        <f t="shared" si="10"/>
        <v>62</v>
      </c>
      <c r="J664" t="str" cm="1">
        <f t="array" ref="J664">_xlfn.IFS(
AND(I664&gt;=89,I664&lt;=92),"D-90",
AND(I664&gt;=58,I664&lt;=62),"D-60",
AND(I664&gt;=28,I664&lt;=32),"D-30",
AND(I664=0),"당월",
TRUE,"그외")</f>
        <v>D-60</v>
      </c>
    </row>
    <row r="665" spans="1:10" ht="17.649999999999999" customHeight="1" x14ac:dyDescent="0.3">
      <c r="A665" s="4">
        <v>45901</v>
      </c>
      <c r="B665" s="5" t="s">
        <v>12</v>
      </c>
      <c r="C665" s="4">
        <v>45839</v>
      </c>
      <c r="D665" s="5" t="s">
        <v>10</v>
      </c>
      <c r="E665" s="6">
        <v>1546</v>
      </c>
      <c r="F665" s="6">
        <v>159369.27619663649</v>
      </c>
      <c r="G665" s="6">
        <v>246384901</v>
      </c>
      <c r="H665" s="6">
        <v>27833121</v>
      </c>
      <c r="I665" s="6">
        <f t="shared" si="10"/>
        <v>62</v>
      </c>
      <c r="J665" t="str" cm="1">
        <f t="array" ref="J665">_xlfn.IFS(
AND(I665&gt;=89,I665&lt;=92),"D-90",
AND(I665&gt;=58,I665&lt;=62),"D-60",
AND(I665&gt;=28,I665&lt;=32),"D-30",
AND(I665=0),"당월",
TRUE,"그외")</f>
        <v>D-60</v>
      </c>
    </row>
    <row r="666" spans="1:10" ht="17.649999999999999" customHeight="1" x14ac:dyDescent="0.3">
      <c r="A666" s="4">
        <v>45901</v>
      </c>
      <c r="B666" s="5" t="s">
        <v>12</v>
      </c>
      <c r="C666" s="4">
        <v>45870</v>
      </c>
      <c r="D666" s="5" t="s">
        <v>9</v>
      </c>
      <c r="E666" s="6">
        <v>310</v>
      </c>
      <c r="F666" s="6">
        <v>119924.19354838711</v>
      </c>
      <c r="G666" s="6">
        <v>37176500</v>
      </c>
      <c r="H666" s="6">
        <v>7974500</v>
      </c>
      <c r="I666" s="6">
        <f t="shared" si="10"/>
        <v>31</v>
      </c>
      <c r="J666" t="str" cm="1">
        <f t="array" ref="J666">_xlfn.IFS(
AND(I666&gt;=89,I666&lt;=92),"D-90",
AND(I666&gt;=58,I666&lt;=62),"D-60",
AND(I666&gt;=28,I666&lt;=32),"D-30",
AND(I666=0),"당월",
TRUE,"그외")</f>
        <v>D-30</v>
      </c>
    </row>
    <row r="667" spans="1:10" ht="17.649999999999999" customHeight="1" x14ac:dyDescent="0.3">
      <c r="A667" s="4">
        <v>45901</v>
      </c>
      <c r="B667" s="5" t="s">
        <v>12</v>
      </c>
      <c r="C667" s="4">
        <v>45870</v>
      </c>
      <c r="D667" s="5" t="s">
        <v>10</v>
      </c>
      <c r="E667" s="6">
        <v>1494</v>
      </c>
      <c r="F667" s="6">
        <v>130852.01472556889</v>
      </c>
      <c r="G667" s="6">
        <v>195492910</v>
      </c>
      <c r="H667" s="6">
        <v>38234277</v>
      </c>
      <c r="I667" s="6">
        <f t="shared" si="10"/>
        <v>31</v>
      </c>
      <c r="J667" t="str" cm="1">
        <f t="array" ref="J667">_xlfn.IFS(
AND(I667&gt;=89,I667&lt;=92),"D-90",
AND(I667&gt;=58,I667&lt;=62),"D-60",
AND(I667&gt;=28,I667&lt;=32),"D-30",
AND(I667=0),"당월",
TRUE,"그외")</f>
        <v>D-30</v>
      </c>
    </row>
    <row r="668" spans="1:10" ht="17.649999999999999" customHeight="1" x14ac:dyDescent="0.3">
      <c r="A668" s="4">
        <v>45901</v>
      </c>
      <c r="B668" s="5" t="s">
        <v>12</v>
      </c>
      <c r="C668" s="4">
        <v>45901</v>
      </c>
      <c r="D668" s="5" t="s">
        <v>9</v>
      </c>
      <c r="E668" s="6">
        <v>761</v>
      </c>
      <c r="F668" s="6">
        <v>116061.1038107753</v>
      </c>
      <c r="G668" s="6">
        <v>88322500</v>
      </c>
      <c r="H668" s="6">
        <v>19974500</v>
      </c>
      <c r="I668" s="6">
        <f t="shared" si="10"/>
        <v>0</v>
      </c>
      <c r="J668" t="str" cm="1">
        <f t="array" ref="J668">_xlfn.IFS(
AND(I668&gt;=89,I668&lt;=92),"D-90",
AND(I668&gt;=58,I668&lt;=62),"D-60",
AND(I668&gt;=28,I668&lt;=32),"D-30",
AND(I668=0),"당월",
TRUE,"그외")</f>
        <v>당월</v>
      </c>
    </row>
    <row r="669" spans="1:10" ht="17.649999999999999" customHeight="1" x14ac:dyDescent="0.3">
      <c r="A669" s="4">
        <v>45901</v>
      </c>
      <c r="B669" s="5" t="s">
        <v>12</v>
      </c>
      <c r="C669" s="4">
        <v>45901</v>
      </c>
      <c r="D669" s="5" t="s">
        <v>10</v>
      </c>
      <c r="E669" s="6">
        <v>670</v>
      </c>
      <c r="F669" s="6">
        <v>132405.0850746269</v>
      </c>
      <c r="G669" s="6">
        <v>88711407</v>
      </c>
      <c r="H669" s="6">
        <v>17402153</v>
      </c>
      <c r="I669" s="6">
        <f t="shared" si="10"/>
        <v>0</v>
      </c>
      <c r="J669" t="str" cm="1">
        <f t="array" ref="J669">_xlfn.IFS(
AND(I669&gt;=89,I669&lt;=92),"D-90",
AND(I669&gt;=58,I669&lt;=62),"D-60",
AND(I669&gt;=28,I669&lt;=32),"D-30",
AND(I669=0),"당월",
TRUE,"그외")</f>
        <v>당월</v>
      </c>
    </row>
    <row r="670" spans="1:10" ht="17.649999999999999" customHeight="1" x14ac:dyDescent="0.3">
      <c r="A670" s="4">
        <v>45931</v>
      </c>
      <c r="B670" s="5" t="s">
        <v>8</v>
      </c>
      <c r="C670" s="4">
        <v>45658</v>
      </c>
      <c r="D670" s="5" t="s">
        <v>10</v>
      </c>
      <c r="E670" s="6">
        <v>76</v>
      </c>
      <c r="F670" s="6">
        <v>244935.5263157895</v>
      </c>
      <c r="G670" s="6">
        <v>18615100</v>
      </c>
      <c r="H670" s="6">
        <v>2356000</v>
      </c>
      <c r="I670" s="6">
        <f t="shared" si="10"/>
        <v>273</v>
      </c>
      <c r="J670" t="str" cm="1">
        <f t="array" ref="J670">_xlfn.IFS(
AND(I670&gt;=89,I670&lt;=92),"D-90",
AND(I670&gt;=58,I670&lt;=62),"D-60",
AND(I670&gt;=28,I670&lt;=32),"D-30",
AND(I670=0),"당월",
TRUE,"그외")</f>
        <v>그외</v>
      </c>
    </row>
    <row r="671" spans="1:10" ht="17.649999999999999" customHeight="1" x14ac:dyDescent="0.3">
      <c r="A671" s="4">
        <v>45931</v>
      </c>
      <c r="B671" s="5" t="s">
        <v>8</v>
      </c>
      <c r="C671" s="4">
        <v>45689</v>
      </c>
      <c r="D671" s="5" t="s">
        <v>10</v>
      </c>
      <c r="E671" s="6">
        <v>125</v>
      </c>
      <c r="F671" s="6">
        <v>164807.39199999999</v>
      </c>
      <c r="G671" s="6">
        <v>20600924</v>
      </c>
      <c r="H671" s="6">
        <v>4079532</v>
      </c>
      <c r="I671" s="6">
        <f t="shared" si="10"/>
        <v>242</v>
      </c>
      <c r="J671" t="str" cm="1">
        <f t="array" ref="J671">_xlfn.IFS(
AND(I671&gt;=89,I671&lt;=92),"D-90",
AND(I671&gt;=58,I671&lt;=62),"D-60",
AND(I671&gt;=28,I671&lt;=32),"D-30",
AND(I671=0),"당월",
TRUE,"그외")</f>
        <v>그외</v>
      </c>
    </row>
    <row r="672" spans="1:10" ht="17.649999999999999" customHeight="1" x14ac:dyDescent="0.3">
      <c r="A672" s="4">
        <v>45931</v>
      </c>
      <c r="B672" s="5" t="s">
        <v>8</v>
      </c>
      <c r="C672" s="4">
        <v>45717</v>
      </c>
      <c r="D672" s="5" t="s">
        <v>10</v>
      </c>
      <c r="E672" s="6">
        <v>247</v>
      </c>
      <c r="F672" s="6">
        <v>401109.78137651819</v>
      </c>
      <c r="G672" s="6">
        <v>99074116</v>
      </c>
      <c r="H672" s="6">
        <v>9311376</v>
      </c>
      <c r="I672" s="6">
        <f t="shared" si="10"/>
        <v>214</v>
      </c>
      <c r="J672" t="str" cm="1">
        <f t="array" ref="J672">_xlfn.IFS(
AND(I672&gt;=89,I672&lt;=92),"D-90",
AND(I672&gt;=58,I672&lt;=62),"D-60",
AND(I672&gt;=28,I672&lt;=32),"D-30",
AND(I672=0),"당월",
TRUE,"그외")</f>
        <v>그외</v>
      </c>
    </row>
    <row r="673" spans="1:10" ht="17.649999999999999" customHeight="1" x14ac:dyDescent="0.3">
      <c r="A673" s="4">
        <v>45931</v>
      </c>
      <c r="B673" s="5" t="s">
        <v>8</v>
      </c>
      <c r="C673" s="4">
        <v>45748</v>
      </c>
      <c r="D673" s="5" t="s">
        <v>9</v>
      </c>
      <c r="E673" s="6">
        <v>4</v>
      </c>
      <c r="F673" s="6">
        <v>107500</v>
      </c>
      <c r="G673" s="6">
        <v>430000</v>
      </c>
      <c r="H673" s="6">
        <v>110000</v>
      </c>
      <c r="I673" s="6">
        <f t="shared" si="10"/>
        <v>183</v>
      </c>
      <c r="J673" t="str" cm="1">
        <f t="array" ref="J673">_xlfn.IFS(
AND(I673&gt;=89,I673&lt;=92),"D-90",
AND(I673&gt;=58,I673&lt;=62),"D-60",
AND(I673&gt;=28,I673&lt;=32),"D-30",
AND(I673=0),"당월",
TRUE,"그외")</f>
        <v>그외</v>
      </c>
    </row>
    <row r="674" spans="1:10" ht="17.649999999999999" customHeight="1" x14ac:dyDescent="0.3">
      <c r="A674" s="4">
        <v>45931</v>
      </c>
      <c r="B674" s="5" t="s">
        <v>8</v>
      </c>
      <c r="C674" s="4">
        <v>45748</v>
      </c>
      <c r="D674" s="5" t="s">
        <v>10</v>
      </c>
      <c r="E674" s="6">
        <v>150</v>
      </c>
      <c r="F674" s="6">
        <v>222078.61333333331</v>
      </c>
      <c r="G674" s="6">
        <v>33311792</v>
      </c>
      <c r="H674" s="6">
        <v>4172037</v>
      </c>
      <c r="I674" s="6">
        <f t="shared" si="10"/>
        <v>183</v>
      </c>
      <c r="J674" t="str" cm="1">
        <f t="array" ref="J674">_xlfn.IFS(
AND(I674&gt;=89,I674&lt;=92),"D-90",
AND(I674&gt;=58,I674&lt;=62),"D-60",
AND(I674&gt;=28,I674&lt;=32),"D-30",
AND(I674=0),"당월",
TRUE,"그외")</f>
        <v>그외</v>
      </c>
    </row>
    <row r="675" spans="1:10" ht="17.649999999999999" customHeight="1" x14ac:dyDescent="0.3">
      <c r="A675" s="4">
        <v>45931</v>
      </c>
      <c r="B675" s="5" t="s">
        <v>8</v>
      </c>
      <c r="C675" s="4">
        <v>45778</v>
      </c>
      <c r="D675" s="5" t="s">
        <v>9</v>
      </c>
      <c r="E675" s="6">
        <v>6</v>
      </c>
      <c r="F675" s="6">
        <v>511900</v>
      </c>
      <c r="G675" s="6">
        <v>3071400</v>
      </c>
      <c r="H675" s="6">
        <v>131400</v>
      </c>
      <c r="I675" s="6">
        <f t="shared" si="10"/>
        <v>153</v>
      </c>
      <c r="J675" t="str" cm="1">
        <f t="array" ref="J675">_xlfn.IFS(
AND(I675&gt;=89,I675&lt;=92),"D-90",
AND(I675&gt;=58,I675&lt;=62),"D-60",
AND(I675&gt;=28,I675&lt;=32),"D-30",
AND(I675=0),"당월",
TRUE,"그외")</f>
        <v>그외</v>
      </c>
    </row>
    <row r="676" spans="1:10" ht="17.649999999999999" customHeight="1" x14ac:dyDescent="0.3">
      <c r="A676" s="4">
        <v>45931</v>
      </c>
      <c r="B676" s="5" t="s">
        <v>8</v>
      </c>
      <c r="C676" s="4">
        <v>45778</v>
      </c>
      <c r="D676" s="5" t="s">
        <v>10</v>
      </c>
      <c r="E676" s="6">
        <v>146</v>
      </c>
      <c r="F676" s="6">
        <v>199318</v>
      </c>
      <c r="G676" s="6">
        <v>29100428</v>
      </c>
      <c r="H676" s="6">
        <v>3237258</v>
      </c>
      <c r="I676" s="6">
        <f t="shared" si="10"/>
        <v>153</v>
      </c>
      <c r="J676" t="str" cm="1">
        <f t="array" ref="J676">_xlfn.IFS(
AND(I676&gt;=89,I676&lt;=92),"D-90",
AND(I676&gt;=58,I676&lt;=62),"D-60",
AND(I676&gt;=28,I676&lt;=32),"D-30",
AND(I676=0),"당월",
TRUE,"그외")</f>
        <v>그외</v>
      </c>
    </row>
    <row r="677" spans="1:10" ht="17.649999999999999" customHeight="1" x14ac:dyDescent="0.3">
      <c r="A677" s="4">
        <v>45931</v>
      </c>
      <c r="B677" s="5" t="s">
        <v>8</v>
      </c>
      <c r="C677" s="4">
        <v>45809</v>
      </c>
      <c r="D677" s="5" t="s">
        <v>9</v>
      </c>
      <c r="E677" s="6">
        <v>44</v>
      </c>
      <c r="F677" s="6">
        <v>107909.0909090909</v>
      </c>
      <c r="G677" s="6">
        <v>4748000</v>
      </c>
      <c r="H677" s="6">
        <v>748000</v>
      </c>
      <c r="I677" s="6">
        <f t="shared" si="10"/>
        <v>122</v>
      </c>
      <c r="J677" t="str" cm="1">
        <f t="array" ref="J677">_xlfn.IFS(
AND(I677&gt;=89,I677&lt;=92),"D-90",
AND(I677&gt;=58,I677&lt;=62),"D-60",
AND(I677&gt;=28,I677&lt;=32),"D-30",
AND(I677=0),"당월",
TRUE,"그외")</f>
        <v>그외</v>
      </c>
    </row>
    <row r="678" spans="1:10" ht="17.649999999999999" customHeight="1" x14ac:dyDescent="0.3">
      <c r="A678" s="4">
        <v>45931</v>
      </c>
      <c r="B678" s="5" t="s">
        <v>8</v>
      </c>
      <c r="C678" s="4">
        <v>45809</v>
      </c>
      <c r="D678" s="5" t="s">
        <v>10</v>
      </c>
      <c r="E678" s="6">
        <v>224</v>
      </c>
      <c r="F678" s="6">
        <v>318005.95535714278</v>
      </c>
      <c r="G678" s="6">
        <v>71233334</v>
      </c>
      <c r="H678" s="6">
        <v>4518771</v>
      </c>
      <c r="I678" s="6">
        <f t="shared" si="10"/>
        <v>122</v>
      </c>
      <c r="J678" t="str" cm="1">
        <f t="array" ref="J678">_xlfn.IFS(
AND(I678&gt;=89,I678&lt;=92),"D-90",
AND(I678&gt;=58,I678&lt;=62),"D-60",
AND(I678&gt;=28,I678&lt;=32),"D-30",
AND(I678=0),"당월",
TRUE,"그외")</f>
        <v>그외</v>
      </c>
    </row>
    <row r="679" spans="1:10" ht="17.649999999999999" customHeight="1" x14ac:dyDescent="0.3">
      <c r="A679" s="4">
        <v>45931</v>
      </c>
      <c r="B679" s="5" t="s">
        <v>8</v>
      </c>
      <c r="C679" s="4">
        <v>45839</v>
      </c>
      <c r="D679" s="5" t="s">
        <v>9</v>
      </c>
      <c r="E679" s="6">
        <v>814</v>
      </c>
      <c r="F679" s="6">
        <v>79610.565110565105</v>
      </c>
      <c r="G679" s="6">
        <v>64803000</v>
      </c>
      <c r="H679" s="6">
        <v>13431000</v>
      </c>
      <c r="I679" s="6">
        <f t="shared" si="10"/>
        <v>92</v>
      </c>
      <c r="J679" t="str" cm="1">
        <f t="array" ref="J679">_xlfn.IFS(
AND(I679&gt;=89,I679&lt;=92),"D-90",
AND(I679&gt;=58,I679&lt;=62),"D-60",
AND(I679&gt;=28,I679&lt;=32),"D-30",
AND(I679=0),"당월",
TRUE,"그외")</f>
        <v>D-90</v>
      </c>
    </row>
    <row r="680" spans="1:10" ht="17.649999999999999" customHeight="1" x14ac:dyDescent="0.3">
      <c r="A680" s="4">
        <v>45931</v>
      </c>
      <c r="B680" s="5" t="s">
        <v>8</v>
      </c>
      <c r="C680" s="4">
        <v>45839</v>
      </c>
      <c r="D680" s="5" t="s">
        <v>10</v>
      </c>
      <c r="E680" s="6">
        <v>503</v>
      </c>
      <c r="F680" s="6">
        <v>164467.68389662029</v>
      </c>
      <c r="G680" s="6">
        <v>82727245</v>
      </c>
      <c r="H680" s="6">
        <v>8892268</v>
      </c>
      <c r="I680" s="6">
        <f t="shared" si="10"/>
        <v>92</v>
      </c>
      <c r="J680" t="str" cm="1">
        <f t="array" ref="J680">_xlfn.IFS(
AND(I680&gt;=89,I680&lt;=92),"D-90",
AND(I680&gt;=58,I680&lt;=62),"D-60",
AND(I680&gt;=28,I680&lt;=32),"D-30",
AND(I680=0),"당월",
TRUE,"그외")</f>
        <v>D-90</v>
      </c>
    </row>
    <row r="681" spans="1:10" ht="17.649999999999999" customHeight="1" x14ac:dyDescent="0.3">
      <c r="A681" s="4">
        <v>45931</v>
      </c>
      <c r="B681" s="5" t="s">
        <v>8</v>
      </c>
      <c r="C681" s="4">
        <v>45870</v>
      </c>
      <c r="D681" s="5" t="s">
        <v>9</v>
      </c>
      <c r="E681" s="6">
        <v>379</v>
      </c>
      <c r="F681" s="6">
        <v>89353.562005277039</v>
      </c>
      <c r="G681" s="6">
        <v>33865000</v>
      </c>
      <c r="H681" s="6">
        <v>9816000</v>
      </c>
      <c r="I681" s="6">
        <f t="shared" si="10"/>
        <v>61</v>
      </c>
      <c r="J681" t="str" cm="1">
        <f t="array" ref="J681">_xlfn.IFS(
AND(I681&gt;=89,I681&lt;=92),"D-90",
AND(I681&gt;=58,I681&lt;=62),"D-60",
AND(I681&gt;=28,I681&lt;=32),"D-30",
AND(I681=0),"당월",
TRUE,"그외")</f>
        <v>D-60</v>
      </c>
    </row>
    <row r="682" spans="1:10" ht="17.649999999999999" customHeight="1" x14ac:dyDescent="0.3">
      <c r="A682" s="4">
        <v>45931</v>
      </c>
      <c r="B682" s="5" t="s">
        <v>8</v>
      </c>
      <c r="C682" s="4">
        <v>45870</v>
      </c>
      <c r="D682" s="5" t="s">
        <v>10</v>
      </c>
      <c r="E682" s="6">
        <v>524</v>
      </c>
      <c r="F682" s="6">
        <v>208514.89312977099</v>
      </c>
      <c r="G682" s="6">
        <v>109261804</v>
      </c>
      <c r="H682" s="6">
        <v>12892132</v>
      </c>
      <c r="I682" s="6">
        <f t="shared" si="10"/>
        <v>61</v>
      </c>
      <c r="J682" t="str" cm="1">
        <f t="array" ref="J682">_xlfn.IFS(
AND(I682&gt;=89,I682&lt;=92),"D-90",
AND(I682&gt;=58,I682&lt;=62),"D-60",
AND(I682&gt;=28,I682&lt;=32),"D-30",
AND(I682=0),"당월",
TRUE,"그외")</f>
        <v>D-60</v>
      </c>
    </row>
    <row r="683" spans="1:10" ht="17.649999999999999" customHeight="1" x14ac:dyDescent="0.3">
      <c r="A683" s="4">
        <v>45931</v>
      </c>
      <c r="B683" s="5" t="s">
        <v>8</v>
      </c>
      <c r="C683" s="4">
        <v>45901</v>
      </c>
      <c r="D683" s="5" t="s">
        <v>9</v>
      </c>
      <c r="E683" s="6">
        <v>3831</v>
      </c>
      <c r="F683" s="6">
        <v>306816.60140955372</v>
      </c>
      <c r="G683" s="6">
        <v>1175414400</v>
      </c>
      <c r="H683" s="6">
        <v>97783400</v>
      </c>
      <c r="I683" s="6">
        <f t="shared" si="10"/>
        <v>30</v>
      </c>
      <c r="J683" t="str" cm="1">
        <f t="array" ref="J683">_xlfn.IFS(
AND(I683&gt;=89,I683&lt;=92),"D-90",
AND(I683&gt;=58,I683&lt;=62),"D-60",
AND(I683&gt;=28,I683&lt;=32),"D-30",
AND(I683=0),"당월",
TRUE,"그외")</f>
        <v>D-30</v>
      </c>
    </row>
    <row r="684" spans="1:10" ht="17.649999999999999" customHeight="1" x14ac:dyDescent="0.3">
      <c r="A684" s="4">
        <v>45931</v>
      </c>
      <c r="B684" s="5" t="s">
        <v>8</v>
      </c>
      <c r="C684" s="4">
        <v>45901</v>
      </c>
      <c r="D684" s="5" t="s">
        <v>10</v>
      </c>
      <c r="E684" s="6">
        <v>1451</v>
      </c>
      <c r="F684" s="6">
        <v>149813.7904893177</v>
      </c>
      <c r="G684" s="6">
        <v>217379810</v>
      </c>
      <c r="H684" s="6">
        <v>40154210</v>
      </c>
      <c r="I684" s="6">
        <f t="shared" si="10"/>
        <v>30</v>
      </c>
      <c r="J684" t="str" cm="1">
        <f t="array" ref="J684">_xlfn.IFS(
AND(I684&gt;=89,I684&lt;=92),"D-90",
AND(I684&gt;=58,I684&lt;=62),"D-60",
AND(I684&gt;=28,I684&lt;=32),"D-30",
AND(I684=0),"당월",
TRUE,"그외")</f>
        <v>D-30</v>
      </c>
    </row>
    <row r="685" spans="1:10" ht="17.649999999999999" customHeight="1" x14ac:dyDescent="0.3">
      <c r="A685" s="4">
        <v>45931</v>
      </c>
      <c r="B685" s="5" t="s">
        <v>8</v>
      </c>
      <c r="C685" s="4">
        <v>45931</v>
      </c>
      <c r="D685" s="5" t="s">
        <v>9</v>
      </c>
      <c r="E685" s="6">
        <v>738</v>
      </c>
      <c r="F685" s="6">
        <v>47098.509485094852</v>
      </c>
      <c r="G685" s="6">
        <v>34758700</v>
      </c>
      <c r="H685" s="6">
        <v>19442700</v>
      </c>
      <c r="I685" s="6">
        <f t="shared" si="10"/>
        <v>0</v>
      </c>
      <c r="J685" t="str" cm="1">
        <f t="array" ref="J685">_xlfn.IFS(
AND(I685&gt;=89,I685&lt;=92),"D-90",
AND(I685&gt;=58,I685&lt;=62),"D-60",
AND(I685&gt;=28,I685&lt;=32),"D-30",
AND(I685=0),"당월",
TRUE,"그외")</f>
        <v>당월</v>
      </c>
    </row>
    <row r="686" spans="1:10" ht="17.649999999999999" customHeight="1" x14ac:dyDescent="0.3">
      <c r="A686" s="4">
        <v>45931</v>
      </c>
      <c r="B686" s="5" t="s">
        <v>8</v>
      </c>
      <c r="C686" s="4">
        <v>45931</v>
      </c>
      <c r="D686" s="5" t="s">
        <v>10</v>
      </c>
      <c r="E686" s="6">
        <v>808</v>
      </c>
      <c r="F686" s="6">
        <v>120259.3650990099</v>
      </c>
      <c r="G686" s="6">
        <v>97169567</v>
      </c>
      <c r="H686" s="6">
        <v>21902814</v>
      </c>
      <c r="I686" s="6">
        <f t="shared" si="10"/>
        <v>0</v>
      </c>
      <c r="J686" t="str" cm="1">
        <f t="array" ref="J686">_xlfn.IFS(
AND(I686&gt;=89,I686&lt;=92),"D-90",
AND(I686&gt;=58,I686&lt;=62),"D-60",
AND(I686&gt;=28,I686&lt;=32),"D-30",
AND(I686=0),"당월",
TRUE,"그외")</f>
        <v>당월</v>
      </c>
    </row>
    <row r="687" spans="1:10" ht="17.649999999999999" customHeight="1" x14ac:dyDescent="0.3">
      <c r="A687" s="4">
        <v>45931</v>
      </c>
      <c r="B687" s="5" t="s">
        <v>11</v>
      </c>
      <c r="C687" s="4">
        <v>45839</v>
      </c>
      <c r="D687" s="5" t="s">
        <v>9</v>
      </c>
      <c r="E687" s="6">
        <v>396</v>
      </c>
      <c r="F687" s="6">
        <v>358451.51515151508</v>
      </c>
      <c r="G687" s="6">
        <v>141946800</v>
      </c>
      <c r="H687" s="6">
        <v>6814800</v>
      </c>
      <c r="I687" s="6">
        <f t="shared" si="10"/>
        <v>92</v>
      </c>
      <c r="J687" t="str" cm="1">
        <f t="array" ref="J687">_xlfn.IFS(
AND(I687&gt;=89,I687&lt;=92),"D-90",
AND(I687&gt;=58,I687&lt;=62),"D-60",
AND(I687&gt;=28,I687&lt;=32),"D-30",
AND(I687=0),"당월",
TRUE,"그외")</f>
        <v>D-90</v>
      </c>
    </row>
    <row r="688" spans="1:10" ht="17.649999999999999" customHeight="1" x14ac:dyDescent="0.3">
      <c r="A688" s="4">
        <v>45931</v>
      </c>
      <c r="B688" s="5" t="s">
        <v>11</v>
      </c>
      <c r="C688" s="4">
        <v>45839</v>
      </c>
      <c r="D688" s="5" t="s">
        <v>10</v>
      </c>
      <c r="E688" s="6">
        <v>1527</v>
      </c>
      <c r="F688" s="6">
        <v>309608.30713817943</v>
      </c>
      <c r="G688" s="6">
        <v>472771885</v>
      </c>
      <c r="H688" s="6">
        <v>29325744</v>
      </c>
      <c r="I688" s="6">
        <f t="shared" si="10"/>
        <v>92</v>
      </c>
      <c r="J688" t="str" cm="1">
        <f t="array" ref="J688">_xlfn.IFS(
AND(I688&gt;=89,I688&lt;=92),"D-90",
AND(I688&gt;=58,I688&lt;=62),"D-60",
AND(I688&gt;=28,I688&lt;=32),"D-30",
AND(I688=0),"당월",
TRUE,"그외")</f>
        <v>D-90</v>
      </c>
    </row>
    <row r="689" spans="1:10" ht="17.649999999999999" customHeight="1" x14ac:dyDescent="0.3">
      <c r="A689" s="4">
        <v>45931</v>
      </c>
      <c r="B689" s="5" t="s">
        <v>11</v>
      </c>
      <c r="C689" s="4">
        <v>45870</v>
      </c>
      <c r="D689" s="5" t="s">
        <v>9</v>
      </c>
      <c r="E689" s="6">
        <v>662</v>
      </c>
      <c r="F689" s="6">
        <v>296773.41389728099</v>
      </c>
      <c r="G689" s="6">
        <v>196464000</v>
      </c>
      <c r="H689" s="6">
        <v>17212000</v>
      </c>
      <c r="I689" s="6">
        <f t="shared" si="10"/>
        <v>61</v>
      </c>
      <c r="J689" t="str" cm="1">
        <f t="array" ref="J689">_xlfn.IFS(
AND(I689&gt;=89,I689&lt;=92),"D-90",
AND(I689&gt;=58,I689&lt;=62),"D-60",
AND(I689&gt;=28,I689&lt;=32),"D-30",
AND(I689=0),"당월",
TRUE,"그외")</f>
        <v>D-60</v>
      </c>
    </row>
    <row r="690" spans="1:10" ht="17.649999999999999" customHeight="1" x14ac:dyDescent="0.3">
      <c r="A690" s="4">
        <v>45931</v>
      </c>
      <c r="B690" s="5" t="s">
        <v>11</v>
      </c>
      <c r="C690" s="4">
        <v>45870</v>
      </c>
      <c r="D690" s="5" t="s">
        <v>10</v>
      </c>
      <c r="E690" s="6">
        <v>1527</v>
      </c>
      <c r="F690" s="6">
        <v>227925.87033398819</v>
      </c>
      <c r="G690" s="6">
        <v>348042804</v>
      </c>
      <c r="H690" s="6">
        <v>39459696</v>
      </c>
      <c r="I690" s="6">
        <f t="shared" si="10"/>
        <v>61</v>
      </c>
      <c r="J690" t="str" cm="1">
        <f t="array" ref="J690">_xlfn.IFS(
AND(I690&gt;=89,I690&lt;=92),"D-90",
AND(I690&gt;=58,I690&lt;=62),"D-60",
AND(I690&gt;=28,I690&lt;=32),"D-30",
AND(I690=0),"당월",
TRUE,"그외")</f>
        <v>D-60</v>
      </c>
    </row>
    <row r="691" spans="1:10" ht="17.649999999999999" customHeight="1" x14ac:dyDescent="0.3">
      <c r="A691" s="4">
        <v>45931</v>
      </c>
      <c r="B691" s="5" t="s">
        <v>11</v>
      </c>
      <c r="C691" s="4">
        <v>45901</v>
      </c>
      <c r="D691" s="5" t="s">
        <v>9</v>
      </c>
      <c r="E691" s="6">
        <v>702</v>
      </c>
      <c r="F691" s="6">
        <v>129172.0797720798</v>
      </c>
      <c r="G691" s="6">
        <v>90678800</v>
      </c>
      <c r="H691" s="6">
        <v>18422800</v>
      </c>
      <c r="I691" s="6">
        <f t="shared" si="10"/>
        <v>30</v>
      </c>
      <c r="J691" t="str" cm="1">
        <f t="array" ref="J691">_xlfn.IFS(
AND(I691&gt;=89,I691&lt;=92),"D-90",
AND(I691&gt;=58,I691&lt;=62),"D-60",
AND(I691&gt;=28,I691&lt;=32),"D-30",
AND(I691=0),"당월",
TRUE,"그외")</f>
        <v>D-30</v>
      </c>
    </row>
    <row r="692" spans="1:10" ht="17.649999999999999" customHeight="1" x14ac:dyDescent="0.3">
      <c r="A692" s="4">
        <v>45931</v>
      </c>
      <c r="B692" s="5" t="s">
        <v>11</v>
      </c>
      <c r="C692" s="4">
        <v>45901</v>
      </c>
      <c r="D692" s="5" t="s">
        <v>10</v>
      </c>
      <c r="E692" s="6">
        <v>3346</v>
      </c>
      <c r="F692" s="6">
        <v>143436.77585176329</v>
      </c>
      <c r="G692" s="6">
        <v>479939452</v>
      </c>
      <c r="H692" s="6">
        <v>87717214</v>
      </c>
      <c r="I692" s="6">
        <f t="shared" si="10"/>
        <v>30</v>
      </c>
      <c r="J692" t="str" cm="1">
        <f t="array" ref="J692">_xlfn.IFS(
AND(I692&gt;=89,I692&lt;=92),"D-90",
AND(I692&gt;=58,I692&lt;=62),"D-60",
AND(I692&gt;=28,I692&lt;=32),"D-30",
AND(I692=0),"당월",
TRUE,"그외")</f>
        <v>D-30</v>
      </c>
    </row>
    <row r="693" spans="1:10" ht="17.649999999999999" customHeight="1" x14ac:dyDescent="0.3">
      <c r="A693" s="4">
        <v>45931</v>
      </c>
      <c r="B693" s="5" t="s">
        <v>11</v>
      </c>
      <c r="C693" s="4">
        <v>45931</v>
      </c>
      <c r="D693" s="5" t="s">
        <v>9</v>
      </c>
      <c r="E693" s="6">
        <v>384</v>
      </c>
      <c r="F693" s="6">
        <v>90324.479166666672</v>
      </c>
      <c r="G693" s="6">
        <v>34684600</v>
      </c>
      <c r="H693" s="6">
        <v>10136600</v>
      </c>
      <c r="I693" s="6">
        <f t="shared" si="10"/>
        <v>0</v>
      </c>
      <c r="J693" t="str" cm="1">
        <f t="array" ref="J693">_xlfn.IFS(
AND(I693&gt;=89,I693&lt;=92),"D-90",
AND(I693&gt;=58,I693&lt;=62),"D-60",
AND(I693&gt;=28,I693&lt;=32),"D-30",
AND(I693=0),"당월",
TRUE,"그외")</f>
        <v>당월</v>
      </c>
    </row>
    <row r="694" spans="1:10" ht="17.649999999999999" customHeight="1" x14ac:dyDescent="0.3">
      <c r="A694" s="4">
        <v>45931</v>
      </c>
      <c r="B694" s="5" t="s">
        <v>11</v>
      </c>
      <c r="C694" s="4">
        <v>45931</v>
      </c>
      <c r="D694" s="5" t="s">
        <v>10</v>
      </c>
      <c r="E694" s="6">
        <v>1191</v>
      </c>
      <c r="F694" s="6">
        <v>133346.06717044499</v>
      </c>
      <c r="G694" s="6">
        <v>158815166</v>
      </c>
      <c r="H694" s="6">
        <v>31604765</v>
      </c>
      <c r="I694" s="6">
        <f t="shared" si="10"/>
        <v>0</v>
      </c>
      <c r="J694" t="str" cm="1">
        <f t="array" ref="J694">_xlfn.IFS(
AND(I694&gt;=89,I694&lt;=92),"D-90",
AND(I694&gt;=58,I694&lt;=62),"D-60",
AND(I694&gt;=28,I694&lt;=32),"D-30",
AND(I694=0),"당월",
TRUE,"그외")</f>
        <v>당월</v>
      </c>
    </row>
    <row r="695" spans="1:10" ht="17.649999999999999" customHeight="1" x14ac:dyDescent="0.3">
      <c r="A695" s="4">
        <v>45931</v>
      </c>
      <c r="B695" s="5" t="s">
        <v>12</v>
      </c>
      <c r="C695" s="4">
        <v>45839</v>
      </c>
      <c r="D695" s="5" t="s">
        <v>9</v>
      </c>
      <c r="E695" s="6">
        <v>342</v>
      </c>
      <c r="F695" s="6">
        <v>183397.66081871351</v>
      </c>
      <c r="G695" s="6">
        <v>62722000</v>
      </c>
      <c r="H695" s="6">
        <v>5062000</v>
      </c>
      <c r="I695" s="6">
        <f t="shared" si="10"/>
        <v>92</v>
      </c>
      <c r="J695" t="str" cm="1">
        <f t="array" ref="J695">_xlfn.IFS(
AND(I695&gt;=89,I695&lt;=92),"D-90",
AND(I695&gt;=58,I695&lt;=62),"D-60",
AND(I695&gt;=28,I695&lt;=32),"D-30",
AND(I695=0),"당월",
TRUE,"그외")</f>
        <v>D-90</v>
      </c>
    </row>
    <row r="696" spans="1:10" ht="17.649999999999999" customHeight="1" x14ac:dyDescent="0.3">
      <c r="A696" s="4">
        <v>45931</v>
      </c>
      <c r="B696" s="5" t="s">
        <v>12</v>
      </c>
      <c r="C696" s="4">
        <v>45839</v>
      </c>
      <c r="D696" s="5" t="s">
        <v>10</v>
      </c>
      <c r="E696" s="6">
        <v>598</v>
      </c>
      <c r="F696" s="6">
        <v>346789.54180602008</v>
      </c>
      <c r="G696" s="6">
        <v>207380146</v>
      </c>
      <c r="H696" s="6">
        <v>12013179</v>
      </c>
      <c r="I696" s="6">
        <f t="shared" si="10"/>
        <v>92</v>
      </c>
      <c r="J696" t="str" cm="1">
        <f t="array" ref="J696">_xlfn.IFS(
AND(I696&gt;=89,I696&lt;=92),"D-90",
AND(I696&gt;=58,I696&lt;=62),"D-60",
AND(I696&gt;=28,I696&lt;=32),"D-30",
AND(I696=0),"당월",
TRUE,"그외")</f>
        <v>D-90</v>
      </c>
    </row>
    <row r="697" spans="1:10" ht="17.649999999999999" customHeight="1" x14ac:dyDescent="0.3">
      <c r="A697" s="4">
        <v>45931</v>
      </c>
      <c r="B697" s="5" t="s">
        <v>12</v>
      </c>
      <c r="C697" s="4">
        <v>45870</v>
      </c>
      <c r="D697" s="5" t="s">
        <v>9</v>
      </c>
      <c r="E697" s="6">
        <v>268</v>
      </c>
      <c r="F697" s="6">
        <v>750962.68656716414</v>
      </c>
      <c r="G697" s="6">
        <v>201258000</v>
      </c>
      <c r="H697" s="6">
        <v>4368000</v>
      </c>
      <c r="I697" s="6">
        <f t="shared" si="10"/>
        <v>61</v>
      </c>
      <c r="J697" t="str" cm="1">
        <f t="array" ref="J697">_xlfn.IFS(
AND(I697&gt;=89,I697&lt;=92),"D-90",
AND(I697&gt;=58,I697&lt;=62),"D-60",
AND(I697&gt;=28,I697&lt;=32),"D-30",
AND(I697=0),"당월",
TRUE,"그외")</f>
        <v>D-60</v>
      </c>
    </row>
    <row r="698" spans="1:10" ht="17.649999999999999" customHeight="1" x14ac:dyDescent="0.3">
      <c r="A698" s="4">
        <v>45931</v>
      </c>
      <c r="B698" s="5" t="s">
        <v>12</v>
      </c>
      <c r="C698" s="4">
        <v>45870</v>
      </c>
      <c r="D698" s="5" t="s">
        <v>10</v>
      </c>
      <c r="E698" s="6">
        <v>1007</v>
      </c>
      <c r="F698" s="6">
        <v>187554.0695134062</v>
      </c>
      <c r="G698" s="6">
        <v>188866948</v>
      </c>
      <c r="H698" s="6">
        <v>26042991</v>
      </c>
      <c r="I698" s="6">
        <f t="shared" si="10"/>
        <v>61</v>
      </c>
      <c r="J698" t="str" cm="1">
        <f t="array" ref="J698">_xlfn.IFS(
AND(I698&gt;=89,I698&lt;=92),"D-90",
AND(I698&gt;=58,I698&lt;=62),"D-60",
AND(I698&gt;=28,I698&lt;=32),"D-30",
AND(I698=0),"당월",
TRUE,"그외")</f>
        <v>D-60</v>
      </c>
    </row>
    <row r="699" spans="1:10" ht="17.649999999999999" customHeight="1" x14ac:dyDescent="0.3">
      <c r="A699" s="4">
        <v>45931</v>
      </c>
      <c r="B699" s="5" t="s">
        <v>12</v>
      </c>
      <c r="C699" s="4">
        <v>45901</v>
      </c>
      <c r="D699" s="5" t="s">
        <v>9</v>
      </c>
      <c r="E699" s="6">
        <v>2468</v>
      </c>
      <c r="F699" s="6">
        <v>240176.25607779581</v>
      </c>
      <c r="G699" s="6">
        <v>592755000</v>
      </c>
      <c r="H699" s="6">
        <v>21355000</v>
      </c>
      <c r="I699" s="6">
        <f t="shared" si="10"/>
        <v>30</v>
      </c>
      <c r="J699" t="str" cm="1">
        <f t="array" ref="J699">_xlfn.IFS(
AND(I699&gt;=89,I699&lt;=92),"D-90",
AND(I699&gt;=58,I699&lt;=62),"D-60",
AND(I699&gt;=28,I699&lt;=32),"D-30",
AND(I699=0),"당월",
TRUE,"그외")</f>
        <v>D-30</v>
      </c>
    </row>
    <row r="700" spans="1:10" ht="17.649999999999999" customHeight="1" x14ac:dyDescent="0.3">
      <c r="A700" s="4">
        <v>45931</v>
      </c>
      <c r="B700" s="5" t="s">
        <v>12</v>
      </c>
      <c r="C700" s="4">
        <v>45901</v>
      </c>
      <c r="D700" s="5" t="s">
        <v>10</v>
      </c>
      <c r="E700" s="6">
        <v>1846</v>
      </c>
      <c r="F700" s="6">
        <v>146720.07367280609</v>
      </c>
      <c r="G700" s="6">
        <v>270845256</v>
      </c>
      <c r="H700" s="6">
        <v>49614505</v>
      </c>
      <c r="I700" s="6">
        <f t="shared" si="10"/>
        <v>30</v>
      </c>
      <c r="J700" t="str" cm="1">
        <f t="array" ref="J700">_xlfn.IFS(
AND(I700&gt;=89,I700&lt;=92),"D-90",
AND(I700&gt;=58,I700&lt;=62),"D-60",
AND(I700&gt;=28,I700&lt;=32),"D-30",
AND(I700=0),"당월",
TRUE,"그외")</f>
        <v>D-30</v>
      </c>
    </row>
    <row r="701" spans="1:10" ht="17.649999999999999" customHeight="1" x14ac:dyDescent="0.3">
      <c r="A701" s="4">
        <v>45931</v>
      </c>
      <c r="B701" s="5" t="s">
        <v>12</v>
      </c>
      <c r="C701" s="4">
        <v>45931</v>
      </c>
      <c r="D701" s="5" t="s">
        <v>9</v>
      </c>
      <c r="E701" s="6">
        <v>1083</v>
      </c>
      <c r="F701" s="6">
        <v>107052.9085872576</v>
      </c>
      <c r="G701" s="6">
        <v>115938300</v>
      </c>
      <c r="H701" s="6">
        <v>28326300</v>
      </c>
      <c r="I701" s="6">
        <f t="shared" si="10"/>
        <v>0</v>
      </c>
      <c r="J701" t="str" cm="1">
        <f t="array" ref="J701">_xlfn.IFS(
AND(I701&gt;=89,I701&lt;=92),"D-90",
AND(I701&gt;=58,I701&lt;=62),"D-60",
AND(I701&gt;=28,I701&lt;=32),"D-30",
AND(I701=0),"당월",
TRUE,"그외")</f>
        <v>당월</v>
      </c>
    </row>
    <row r="702" spans="1:10" ht="17.649999999999999" customHeight="1" x14ac:dyDescent="0.3">
      <c r="A702" s="4">
        <v>45931</v>
      </c>
      <c r="B702" s="5" t="s">
        <v>12</v>
      </c>
      <c r="C702" s="4">
        <v>45931</v>
      </c>
      <c r="D702" s="5" t="s">
        <v>10</v>
      </c>
      <c r="E702" s="6">
        <v>1356</v>
      </c>
      <c r="F702" s="6">
        <v>114099.41297935099</v>
      </c>
      <c r="G702" s="6">
        <v>154718804</v>
      </c>
      <c r="H702" s="6">
        <v>38035260</v>
      </c>
      <c r="I702" s="6">
        <f t="shared" si="10"/>
        <v>0</v>
      </c>
      <c r="J702" t="str" cm="1">
        <f t="array" ref="J702">_xlfn.IFS(
AND(I702&gt;=89,I702&lt;=92),"D-90",
AND(I702&gt;=58,I702&lt;=62),"D-60",
AND(I702&gt;=28,I702&lt;=32),"D-30",
AND(I702=0),"당월",
TRUE,"그외")</f>
        <v>당월</v>
      </c>
    </row>
    <row r="703" spans="1:10" ht="17.649999999999999" customHeight="1" x14ac:dyDescent="0.3">
      <c r="A703" s="4">
        <v>45931</v>
      </c>
      <c r="B703" s="5" t="s">
        <v>13</v>
      </c>
      <c r="C703" s="4">
        <v>45809</v>
      </c>
      <c r="D703" s="5" t="s">
        <v>10</v>
      </c>
      <c r="E703" s="6">
        <v>314</v>
      </c>
      <c r="F703" s="6">
        <v>464738.5382165605</v>
      </c>
      <c r="G703" s="6">
        <v>145927901</v>
      </c>
      <c r="H703" s="6">
        <v>6450018</v>
      </c>
      <c r="I703" s="6">
        <f t="shared" si="10"/>
        <v>122</v>
      </c>
      <c r="J703" t="str" cm="1">
        <f t="array" ref="J703">_xlfn.IFS(
AND(I703&gt;=89,I703&lt;=92),"D-90",
AND(I703&gt;=58,I703&lt;=62),"D-60",
AND(I703&gt;=28,I703&lt;=32),"D-30",
AND(I703=0),"당월",
TRUE,"그외")</f>
        <v>그외</v>
      </c>
    </row>
    <row r="704" spans="1:10" ht="17.649999999999999" customHeight="1" x14ac:dyDescent="0.3">
      <c r="A704" s="4">
        <v>45931</v>
      </c>
      <c r="B704" s="5" t="s">
        <v>13</v>
      </c>
      <c r="C704" s="4">
        <v>45839</v>
      </c>
      <c r="D704" s="5" t="s">
        <v>9</v>
      </c>
      <c r="E704" s="6">
        <v>36</v>
      </c>
      <c r="F704" s="6">
        <v>466500</v>
      </c>
      <c r="G704" s="6">
        <v>16794000</v>
      </c>
      <c r="H704" s="6">
        <v>594000</v>
      </c>
      <c r="I704" s="6">
        <f t="shared" si="10"/>
        <v>92</v>
      </c>
      <c r="J704" t="str" cm="1">
        <f t="array" ref="J704">_xlfn.IFS(
AND(I704&gt;=89,I704&lt;=92),"D-90",
AND(I704&gt;=58,I704&lt;=62),"D-60",
AND(I704&gt;=28,I704&lt;=32),"D-30",
AND(I704=0),"당월",
TRUE,"그외")</f>
        <v>D-90</v>
      </c>
    </row>
    <row r="705" spans="1:10" ht="17.649999999999999" customHeight="1" x14ac:dyDescent="0.3">
      <c r="A705" s="4">
        <v>45931</v>
      </c>
      <c r="B705" s="5" t="s">
        <v>13</v>
      </c>
      <c r="C705" s="4">
        <v>45839</v>
      </c>
      <c r="D705" s="5" t="s">
        <v>10</v>
      </c>
      <c r="E705" s="6">
        <v>217</v>
      </c>
      <c r="F705" s="6">
        <v>448888.88479262672</v>
      </c>
      <c r="G705" s="6">
        <v>97408888</v>
      </c>
      <c r="H705" s="6">
        <v>3877274</v>
      </c>
      <c r="I705" s="6">
        <f t="shared" si="10"/>
        <v>92</v>
      </c>
      <c r="J705" t="str" cm="1">
        <f t="array" ref="J705">_xlfn.IFS(
AND(I705&gt;=89,I705&lt;=92),"D-90",
AND(I705&gt;=58,I705&lt;=62),"D-60",
AND(I705&gt;=28,I705&lt;=32),"D-30",
AND(I705=0),"당월",
TRUE,"그외")</f>
        <v>D-90</v>
      </c>
    </row>
    <row r="706" spans="1:10" ht="17.649999999999999" customHeight="1" x14ac:dyDescent="0.3">
      <c r="A706" s="4">
        <v>45931</v>
      </c>
      <c r="B706" s="5" t="s">
        <v>13</v>
      </c>
      <c r="C706" s="4">
        <v>45870</v>
      </c>
      <c r="D706" s="5" t="s">
        <v>9</v>
      </c>
      <c r="E706" s="6">
        <v>4</v>
      </c>
      <c r="F706" s="6">
        <v>476000</v>
      </c>
      <c r="G706" s="6">
        <v>1904000</v>
      </c>
      <c r="H706" s="6">
        <v>104000</v>
      </c>
      <c r="I706" s="6">
        <f t="shared" si="10"/>
        <v>61</v>
      </c>
      <c r="J706" t="str" cm="1">
        <f t="array" ref="J706">_xlfn.IFS(
AND(I706&gt;=89,I706&lt;=92),"D-90",
AND(I706&gt;=58,I706&lt;=62),"D-60",
AND(I706&gt;=28,I706&lt;=32),"D-30",
AND(I706=0),"당월",
TRUE,"그외")</f>
        <v>D-60</v>
      </c>
    </row>
    <row r="707" spans="1:10" ht="17.649999999999999" customHeight="1" x14ac:dyDescent="0.3">
      <c r="A707" s="4">
        <v>45931</v>
      </c>
      <c r="B707" s="5" t="s">
        <v>13</v>
      </c>
      <c r="C707" s="4">
        <v>45870</v>
      </c>
      <c r="D707" s="5" t="s">
        <v>10</v>
      </c>
      <c r="E707" s="6">
        <v>291</v>
      </c>
      <c r="F707" s="6">
        <v>307633.08934707899</v>
      </c>
      <c r="G707" s="6">
        <v>89521229</v>
      </c>
      <c r="H707" s="6">
        <v>8567019</v>
      </c>
      <c r="I707" s="6">
        <f t="shared" ref="I707:I770" si="11">A707-C707</f>
        <v>61</v>
      </c>
      <c r="J707" t="str" cm="1">
        <f t="array" ref="J707">_xlfn.IFS(
AND(I707&gt;=89,I707&lt;=92),"D-90",
AND(I707&gt;=58,I707&lt;=62),"D-60",
AND(I707&gt;=28,I707&lt;=32),"D-30",
AND(I707=0),"당월",
TRUE,"그외")</f>
        <v>D-60</v>
      </c>
    </row>
    <row r="708" spans="1:10" ht="17.649999999999999" customHeight="1" x14ac:dyDescent="0.3">
      <c r="A708" s="4">
        <v>45931</v>
      </c>
      <c r="B708" s="5" t="s">
        <v>13</v>
      </c>
      <c r="C708" s="4">
        <v>45901</v>
      </c>
      <c r="D708" s="5" t="s">
        <v>9</v>
      </c>
      <c r="E708" s="6">
        <v>1576</v>
      </c>
      <c r="F708" s="6">
        <v>350890.35532994918</v>
      </c>
      <c r="G708" s="6">
        <v>553003200</v>
      </c>
      <c r="H708" s="6">
        <v>5891200</v>
      </c>
      <c r="I708" s="6">
        <f t="shared" si="11"/>
        <v>30</v>
      </c>
      <c r="J708" t="str" cm="1">
        <f t="array" ref="J708">_xlfn.IFS(
AND(I708&gt;=89,I708&lt;=92),"D-90",
AND(I708&gt;=58,I708&lt;=62),"D-60",
AND(I708&gt;=28,I708&lt;=32),"D-30",
AND(I708=0),"당월",
TRUE,"그외")</f>
        <v>D-30</v>
      </c>
    </row>
    <row r="709" spans="1:10" ht="17.649999999999999" customHeight="1" x14ac:dyDescent="0.3">
      <c r="A709" s="4">
        <v>45931</v>
      </c>
      <c r="B709" s="5" t="s">
        <v>13</v>
      </c>
      <c r="C709" s="4">
        <v>45901</v>
      </c>
      <c r="D709" s="5" t="s">
        <v>10</v>
      </c>
      <c r="E709" s="6">
        <v>565</v>
      </c>
      <c r="F709" s="6">
        <v>238231.66194690269</v>
      </c>
      <c r="G709" s="6">
        <v>134600889</v>
      </c>
      <c r="H709" s="6">
        <v>17388376</v>
      </c>
      <c r="I709" s="6">
        <f t="shared" si="11"/>
        <v>30</v>
      </c>
      <c r="J709" t="str" cm="1">
        <f t="array" ref="J709">_xlfn.IFS(
AND(I709&gt;=89,I709&lt;=92),"D-90",
AND(I709&gt;=58,I709&lt;=62),"D-60",
AND(I709&gt;=28,I709&lt;=32),"D-30",
AND(I709=0),"당월",
TRUE,"그외")</f>
        <v>D-30</v>
      </c>
    </row>
    <row r="710" spans="1:10" ht="17.649999999999999" customHeight="1" x14ac:dyDescent="0.3">
      <c r="A710" s="4">
        <v>45931</v>
      </c>
      <c r="B710" s="5" t="s">
        <v>13</v>
      </c>
      <c r="C710" s="4">
        <v>45931</v>
      </c>
      <c r="D710" s="5" t="s">
        <v>9</v>
      </c>
      <c r="E710" s="6">
        <v>228</v>
      </c>
      <c r="F710" s="6">
        <v>102772.80701754391</v>
      </c>
      <c r="G710" s="6">
        <v>23432200</v>
      </c>
      <c r="H710" s="6">
        <v>5966200</v>
      </c>
      <c r="I710" s="6">
        <f t="shared" si="11"/>
        <v>0</v>
      </c>
      <c r="J710" t="str" cm="1">
        <f t="array" ref="J710">_xlfn.IFS(
AND(I710&gt;=89,I710&lt;=92),"D-90",
AND(I710&gt;=58,I710&lt;=62),"D-60",
AND(I710&gt;=28,I710&lt;=32),"D-30",
AND(I710=0),"당월",
TRUE,"그외")</f>
        <v>당월</v>
      </c>
    </row>
    <row r="711" spans="1:10" ht="17.649999999999999" customHeight="1" x14ac:dyDescent="0.3">
      <c r="A711" s="4">
        <v>45931</v>
      </c>
      <c r="B711" s="5" t="s">
        <v>13</v>
      </c>
      <c r="C711" s="4">
        <v>45931</v>
      </c>
      <c r="D711" s="5" t="s">
        <v>10</v>
      </c>
      <c r="E711" s="6">
        <v>386</v>
      </c>
      <c r="F711" s="6">
        <v>188663.49481865289</v>
      </c>
      <c r="G711" s="6">
        <v>72824109</v>
      </c>
      <c r="H711" s="6">
        <v>10868847</v>
      </c>
      <c r="I711" s="6">
        <f t="shared" si="11"/>
        <v>0</v>
      </c>
      <c r="J711" t="str" cm="1">
        <f t="array" ref="J711">_xlfn.IFS(
AND(I711&gt;=89,I711&lt;=92),"D-90",
AND(I711&gt;=58,I711&lt;=62),"D-60",
AND(I711&gt;=28,I711&lt;=32),"D-30",
AND(I711=0),"당월",
TRUE,"그외")</f>
        <v>당월</v>
      </c>
    </row>
    <row r="712" spans="1:10" ht="17.649999999999999" customHeight="1" x14ac:dyDescent="0.3">
      <c r="A712" s="4">
        <v>45962</v>
      </c>
      <c r="B712" s="5" t="s">
        <v>8</v>
      </c>
      <c r="C712" s="4">
        <v>45839</v>
      </c>
      <c r="D712" s="5" t="s">
        <v>10</v>
      </c>
      <c r="E712" s="6">
        <v>1109</v>
      </c>
      <c r="F712" s="6">
        <v>159709.79260595131</v>
      </c>
      <c r="G712" s="6">
        <v>177118160</v>
      </c>
      <c r="H712" s="6">
        <v>18771240</v>
      </c>
      <c r="I712" s="6">
        <f t="shared" si="11"/>
        <v>123</v>
      </c>
      <c r="J712" t="str" cm="1">
        <f t="array" ref="J712">_xlfn.IFS(
AND(I712&gt;=89,I712&lt;=92),"D-90",
AND(I712&gt;=58,I712&lt;=62),"D-60",
AND(I712&gt;=28,I712&lt;=32),"D-30",
AND(I712=0),"당월",
TRUE,"그외")</f>
        <v>그외</v>
      </c>
    </row>
    <row r="713" spans="1:10" ht="17.649999999999999" customHeight="1" x14ac:dyDescent="0.3">
      <c r="A713" s="4">
        <v>45962</v>
      </c>
      <c r="B713" s="5" t="s">
        <v>8</v>
      </c>
      <c r="C713" s="4">
        <v>45870</v>
      </c>
      <c r="D713" s="5" t="s">
        <v>9</v>
      </c>
      <c r="E713" s="6">
        <v>186</v>
      </c>
      <c r="F713" s="6">
        <v>138967.74193548391</v>
      </c>
      <c r="G713" s="6">
        <v>25848000</v>
      </c>
      <c r="H713" s="6">
        <v>4836000</v>
      </c>
      <c r="I713" s="6">
        <f t="shared" si="11"/>
        <v>92</v>
      </c>
      <c r="J713" t="str" cm="1">
        <f t="array" ref="J713">_xlfn.IFS(
AND(I713&gt;=89,I713&lt;=92),"D-90",
AND(I713&gt;=58,I713&lt;=62),"D-60",
AND(I713&gt;=28,I713&lt;=32),"D-30",
AND(I713=0),"당월",
TRUE,"그외")</f>
        <v>D-90</v>
      </c>
    </row>
    <row r="714" spans="1:10" ht="17.649999999999999" customHeight="1" x14ac:dyDescent="0.3">
      <c r="A714" s="4">
        <v>45962</v>
      </c>
      <c r="B714" s="5" t="s">
        <v>8</v>
      </c>
      <c r="C714" s="4">
        <v>45870</v>
      </c>
      <c r="D714" s="5" t="s">
        <v>10</v>
      </c>
      <c r="E714" s="6">
        <v>973</v>
      </c>
      <c r="F714" s="6">
        <v>164623.30832476879</v>
      </c>
      <c r="G714" s="6">
        <v>160178479</v>
      </c>
      <c r="H714" s="6">
        <v>25437092</v>
      </c>
      <c r="I714" s="6">
        <f t="shared" si="11"/>
        <v>92</v>
      </c>
      <c r="J714" t="str" cm="1">
        <f t="array" ref="J714">_xlfn.IFS(
AND(I714&gt;=89,I714&lt;=92),"D-90",
AND(I714&gt;=58,I714&lt;=62),"D-60",
AND(I714&gt;=28,I714&lt;=32),"D-30",
AND(I714=0),"당월",
TRUE,"그외")</f>
        <v>D-90</v>
      </c>
    </row>
    <row r="715" spans="1:10" ht="17.649999999999999" customHeight="1" x14ac:dyDescent="0.3">
      <c r="A715" s="4">
        <v>45962</v>
      </c>
      <c r="B715" s="5" t="s">
        <v>8</v>
      </c>
      <c r="C715" s="4">
        <v>45901</v>
      </c>
      <c r="D715" s="5" t="s">
        <v>9</v>
      </c>
      <c r="E715" s="6">
        <v>1883</v>
      </c>
      <c r="F715" s="6">
        <v>144763.62187997869</v>
      </c>
      <c r="G715" s="6">
        <v>272589900</v>
      </c>
      <c r="H715" s="6">
        <v>49311900</v>
      </c>
      <c r="I715" s="6">
        <f t="shared" si="11"/>
        <v>61</v>
      </c>
      <c r="J715" t="str" cm="1">
        <f t="array" ref="J715">_xlfn.IFS(
AND(I715&gt;=89,I715&lt;=92),"D-90",
AND(I715&gt;=58,I715&lt;=62),"D-60",
AND(I715&gt;=28,I715&lt;=32),"D-30",
AND(I715=0),"당월",
TRUE,"그외")</f>
        <v>D-60</v>
      </c>
    </row>
    <row r="716" spans="1:10" ht="17.649999999999999" customHeight="1" x14ac:dyDescent="0.3">
      <c r="A716" s="4">
        <v>45962</v>
      </c>
      <c r="B716" s="5" t="s">
        <v>8</v>
      </c>
      <c r="C716" s="4">
        <v>45901</v>
      </c>
      <c r="D716" s="5" t="s">
        <v>10</v>
      </c>
      <c r="E716" s="6">
        <v>1300</v>
      </c>
      <c r="F716" s="6">
        <v>167607.86692307689</v>
      </c>
      <c r="G716" s="6">
        <v>217890227</v>
      </c>
      <c r="H716" s="6">
        <v>34095578</v>
      </c>
      <c r="I716" s="6">
        <f t="shared" si="11"/>
        <v>61</v>
      </c>
      <c r="J716" t="str" cm="1">
        <f t="array" ref="J716">_xlfn.IFS(
AND(I716&gt;=89,I716&lt;=92),"D-90",
AND(I716&gt;=58,I716&lt;=62),"D-60",
AND(I716&gt;=28,I716&lt;=32),"D-30",
AND(I716=0),"당월",
TRUE,"그외")</f>
        <v>D-60</v>
      </c>
    </row>
    <row r="717" spans="1:10" ht="17.649999999999999" customHeight="1" x14ac:dyDescent="0.3">
      <c r="A717" s="4">
        <v>45962</v>
      </c>
      <c r="B717" s="5" t="s">
        <v>8</v>
      </c>
      <c r="C717" s="4">
        <v>45931</v>
      </c>
      <c r="D717" s="5" t="s">
        <v>9</v>
      </c>
      <c r="E717" s="6">
        <v>1080</v>
      </c>
      <c r="F717" s="6">
        <v>294015.46296296298</v>
      </c>
      <c r="G717" s="6">
        <v>317536700</v>
      </c>
      <c r="H717" s="6">
        <v>25844700</v>
      </c>
      <c r="I717" s="6">
        <f t="shared" si="11"/>
        <v>31</v>
      </c>
      <c r="J717" t="str" cm="1">
        <f t="array" ref="J717">_xlfn.IFS(
AND(I717&gt;=89,I717&lt;=92),"D-90",
AND(I717&gt;=58,I717&lt;=62),"D-60",
AND(I717&gt;=28,I717&lt;=32),"D-30",
AND(I717=0),"당월",
TRUE,"그외")</f>
        <v>D-30</v>
      </c>
    </row>
    <row r="718" spans="1:10" ht="17.649999999999999" customHeight="1" x14ac:dyDescent="0.3">
      <c r="A718" s="4">
        <v>45962</v>
      </c>
      <c r="B718" s="5" t="s">
        <v>8</v>
      </c>
      <c r="C718" s="4">
        <v>45931</v>
      </c>
      <c r="D718" s="5" t="s">
        <v>10</v>
      </c>
      <c r="E718" s="6">
        <v>1506</v>
      </c>
      <c r="F718" s="6">
        <v>173552.41766268259</v>
      </c>
      <c r="G718" s="6">
        <v>261369941</v>
      </c>
      <c r="H718" s="6">
        <v>40812160</v>
      </c>
      <c r="I718" s="6">
        <f t="shared" si="11"/>
        <v>31</v>
      </c>
      <c r="J718" t="str" cm="1">
        <f t="array" ref="J718">_xlfn.IFS(
AND(I718&gt;=89,I718&lt;=92),"D-90",
AND(I718&gt;=58,I718&lt;=62),"D-60",
AND(I718&gt;=28,I718&lt;=32),"D-30",
AND(I718=0),"당월",
TRUE,"그외")</f>
        <v>D-30</v>
      </c>
    </row>
    <row r="719" spans="1:10" ht="17.649999999999999" customHeight="1" x14ac:dyDescent="0.3">
      <c r="A719" s="4">
        <v>45962</v>
      </c>
      <c r="B719" s="5" t="s">
        <v>8</v>
      </c>
      <c r="C719" s="4">
        <v>45962</v>
      </c>
      <c r="D719" s="5" t="s">
        <v>9</v>
      </c>
      <c r="E719" s="6">
        <v>2081</v>
      </c>
      <c r="F719" s="6">
        <v>37775.636713118693</v>
      </c>
      <c r="G719" s="6">
        <v>78611100</v>
      </c>
      <c r="H719" s="6">
        <v>55557100</v>
      </c>
      <c r="I719" s="6">
        <f t="shared" si="11"/>
        <v>0</v>
      </c>
      <c r="J719" t="str" cm="1">
        <f t="array" ref="J719">_xlfn.IFS(
AND(I719&gt;=89,I719&lt;=92),"D-90",
AND(I719&gt;=58,I719&lt;=62),"D-60",
AND(I719&gt;=28,I719&lt;=32),"D-30",
AND(I719=0),"당월",
TRUE,"그외")</f>
        <v>당월</v>
      </c>
    </row>
    <row r="720" spans="1:10" ht="17.649999999999999" customHeight="1" x14ac:dyDescent="0.3">
      <c r="A720" s="4">
        <v>45962</v>
      </c>
      <c r="B720" s="5" t="s">
        <v>8</v>
      </c>
      <c r="C720" s="4">
        <v>45962</v>
      </c>
      <c r="D720" s="5" t="s">
        <v>10</v>
      </c>
      <c r="E720" s="6">
        <v>687</v>
      </c>
      <c r="F720" s="6">
        <v>176511.02765647741</v>
      </c>
      <c r="G720" s="6">
        <v>121263076</v>
      </c>
      <c r="H720" s="6">
        <v>18959098</v>
      </c>
      <c r="I720" s="6">
        <f t="shared" si="11"/>
        <v>0</v>
      </c>
      <c r="J720" t="str" cm="1">
        <f t="array" ref="J720">_xlfn.IFS(
AND(I720&gt;=89,I720&lt;=92),"D-90",
AND(I720&gt;=58,I720&lt;=62),"D-60",
AND(I720&gt;=28,I720&lt;=32),"D-30",
AND(I720=0),"당월",
TRUE,"그외")</f>
        <v>당월</v>
      </c>
    </row>
    <row r="721" spans="1:10" ht="17.649999999999999" customHeight="1" x14ac:dyDescent="0.3">
      <c r="A721" s="4">
        <v>45962</v>
      </c>
      <c r="B721" s="5" t="s">
        <v>11</v>
      </c>
      <c r="C721" s="4">
        <v>45839</v>
      </c>
      <c r="D721" s="5" t="s">
        <v>9</v>
      </c>
      <c r="E721" s="6">
        <v>14</v>
      </c>
      <c r="F721" s="6">
        <v>166500</v>
      </c>
      <c r="G721" s="6">
        <v>2331000</v>
      </c>
      <c r="H721" s="6">
        <v>231000</v>
      </c>
      <c r="I721" s="6">
        <f t="shared" si="11"/>
        <v>123</v>
      </c>
      <c r="J721" t="str" cm="1">
        <f t="array" ref="J721">_xlfn.IFS(
AND(I721&gt;=89,I721&lt;=92),"D-90",
AND(I721&gt;=58,I721&lt;=62),"D-60",
AND(I721&gt;=28,I721&lt;=32),"D-30",
AND(I721=0),"당월",
TRUE,"그외")</f>
        <v>그외</v>
      </c>
    </row>
    <row r="722" spans="1:10" ht="17.649999999999999" customHeight="1" x14ac:dyDescent="0.3">
      <c r="A722" s="4">
        <v>45962</v>
      </c>
      <c r="B722" s="5" t="s">
        <v>11</v>
      </c>
      <c r="C722" s="4">
        <v>45839</v>
      </c>
      <c r="D722" s="5" t="s">
        <v>10</v>
      </c>
      <c r="E722" s="6">
        <v>734</v>
      </c>
      <c r="F722" s="6">
        <v>166916.34877384189</v>
      </c>
      <c r="G722" s="6">
        <v>122516600</v>
      </c>
      <c r="H722" s="6">
        <v>12111000</v>
      </c>
      <c r="I722" s="6">
        <f t="shared" si="11"/>
        <v>123</v>
      </c>
      <c r="J722" t="str" cm="1">
        <f t="array" ref="J722">_xlfn.IFS(
AND(I722&gt;=89,I722&lt;=92),"D-90",
AND(I722&gt;=58,I722&lt;=62),"D-60",
AND(I722&gt;=28,I722&lt;=32),"D-30",
AND(I722=0),"당월",
TRUE,"그외")</f>
        <v>그외</v>
      </c>
    </row>
    <row r="723" spans="1:10" ht="17.649999999999999" customHeight="1" x14ac:dyDescent="0.3">
      <c r="A723" s="4">
        <v>45962</v>
      </c>
      <c r="B723" s="5" t="s">
        <v>11</v>
      </c>
      <c r="C723" s="4">
        <v>45870</v>
      </c>
      <c r="D723" s="5" t="s">
        <v>9</v>
      </c>
      <c r="E723" s="6">
        <v>464</v>
      </c>
      <c r="F723" s="6">
        <v>179959.05172413791</v>
      </c>
      <c r="G723" s="6">
        <v>83501000</v>
      </c>
      <c r="H723" s="6">
        <v>12064000</v>
      </c>
      <c r="I723" s="6">
        <f t="shared" si="11"/>
        <v>92</v>
      </c>
      <c r="J723" t="str" cm="1">
        <f t="array" ref="J723">_xlfn.IFS(
AND(I723&gt;=89,I723&lt;=92),"D-90",
AND(I723&gt;=58,I723&lt;=62),"D-60",
AND(I723&gt;=28,I723&lt;=32),"D-30",
AND(I723=0),"당월",
TRUE,"그외")</f>
        <v>D-90</v>
      </c>
    </row>
    <row r="724" spans="1:10" ht="17.649999999999999" customHeight="1" x14ac:dyDescent="0.3">
      <c r="A724" s="4">
        <v>45962</v>
      </c>
      <c r="B724" s="5" t="s">
        <v>11</v>
      </c>
      <c r="C724" s="4">
        <v>45870</v>
      </c>
      <c r="D724" s="5" t="s">
        <v>10</v>
      </c>
      <c r="E724" s="6">
        <v>924</v>
      </c>
      <c r="F724" s="6">
        <v>176454.53896103901</v>
      </c>
      <c r="G724" s="6">
        <v>163043994</v>
      </c>
      <c r="H724" s="6">
        <v>24064134</v>
      </c>
      <c r="I724" s="6">
        <f t="shared" si="11"/>
        <v>92</v>
      </c>
      <c r="J724" t="str" cm="1">
        <f t="array" ref="J724">_xlfn.IFS(
AND(I724&gt;=89,I724&lt;=92),"D-90",
AND(I724&gt;=58,I724&lt;=62),"D-60",
AND(I724&gt;=28,I724&lt;=32),"D-30",
AND(I724=0),"당월",
TRUE,"그외")</f>
        <v>D-90</v>
      </c>
    </row>
    <row r="725" spans="1:10" ht="17.649999999999999" customHeight="1" x14ac:dyDescent="0.3">
      <c r="A725" s="4">
        <v>45962</v>
      </c>
      <c r="B725" s="5" t="s">
        <v>11</v>
      </c>
      <c r="C725" s="4">
        <v>45901</v>
      </c>
      <c r="D725" s="5" t="s">
        <v>9</v>
      </c>
      <c r="E725" s="6">
        <v>861</v>
      </c>
      <c r="F725" s="6">
        <v>136705.34262485479</v>
      </c>
      <c r="G725" s="6">
        <v>117703300</v>
      </c>
      <c r="H725" s="6">
        <v>22644300</v>
      </c>
      <c r="I725" s="6">
        <f t="shared" si="11"/>
        <v>61</v>
      </c>
      <c r="J725" t="str" cm="1">
        <f t="array" ref="J725">_xlfn.IFS(
AND(I725&gt;=89,I725&lt;=92),"D-90",
AND(I725&gt;=58,I725&lt;=62),"D-60",
AND(I725&gt;=28,I725&lt;=32),"D-30",
AND(I725=0),"당월",
TRUE,"그외")</f>
        <v>D-60</v>
      </c>
    </row>
    <row r="726" spans="1:10" ht="17.649999999999999" customHeight="1" x14ac:dyDescent="0.3">
      <c r="A726" s="4">
        <v>45962</v>
      </c>
      <c r="B726" s="5" t="s">
        <v>11</v>
      </c>
      <c r="C726" s="4">
        <v>45901</v>
      </c>
      <c r="D726" s="5" t="s">
        <v>10</v>
      </c>
      <c r="E726" s="6">
        <v>2832</v>
      </c>
      <c r="F726" s="6">
        <v>130101.7944915254</v>
      </c>
      <c r="G726" s="6">
        <v>368448282</v>
      </c>
      <c r="H726" s="6">
        <v>74331569</v>
      </c>
      <c r="I726" s="6">
        <f t="shared" si="11"/>
        <v>61</v>
      </c>
      <c r="J726" t="str" cm="1">
        <f t="array" ref="J726">_xlfn.IFS(
AND(I726&gt;=89,I726&lt;=92),"D-90",
AND(I726&gt;=58,I726&lt;=62),"D-60",
AND(I726&gt;=28,I726&lt;=32),"D-30",
AND(I726=0),"당월",
TRUE,"그외")</f>
        <v>D-60</v>
      </c>
    </row>
    <row r="727" spans="1:10" ht="17.649999999999999" customHeight="1" x14ac:dyDescent="0.3">
      <c r="A727" s="4">
        <v>45962</v>
      </c>
      <c r="B727" s="5" t="s">
        <v>11</v>
      </c>
      <c r="C727" s="4">
        <v>45931</v>
      </c>
      <c r="D727" s="5" t="s">
        <v>9</v>
      </c>
      <c r="E727" s="6">
        <v>1557</v>
      </c>
      <c r="F727" s="6">
        <v>136966.73089274249</v>
      </c>
      <c r="G727" s="6">
        <v>213257200</v>
      </c>
      <c r="H727" s="6">
        <v>41102200</v>
      </c>
      <c r="I727" s="6">
        <f t="shared" si="11"/>
        <v>31</v>
      </c>
      <c r="J727" t="str" cm="1">
        <f t="array" ref="J727">_xlfn.IFS(
AND(I727&gt;=89,I727&lt;=92),"D-90",
AND(I727&gt;=58,I727&lt;=62),"D-60",
AND(I727&gt;=28,I727&lt;=32),"D-30",
AND(I727=0),"당월",
TRUE,"그외")</f>
        <v>D-30</v>
      </c>
    </row>
    <row r="728" spans="1:10" ht="17.649999999999999" customHeight="1" x14ac:dyDescent="0.3">
      <c r="A728" s="4">
        <v>45962</v>
      </c>
      <c r="B728" s="5" t="s">
        <v>11</v>
      </c>
      <c r="C728" s="4">
        <v>45931</v>
      </c>
      <c r="D728" s="5" t="s">
        <v>10</v>
      </c>
      <c r="E728" s="6">
        <v>2280</v>
      </c>
      <c r="F728" s="6">
        <v>132889.7043859649</v>
      </c>
      <c r="G728" s="6">
        <v>302988526</v>
      </c>
      <c r="H728" s="6">
        <v>60726811</v>
      </c>
      <c r="I728" s="6">
        <f t="shared" si="11"/>
        <v>31</v>
      </c>
      <c r="J728" t="str" cm="1">
        <f t="array" ref="J728">_xlfn.IFS(
AND(I728&gt;=89,I728&lt;=92),"D-90",
AND(I728&gt;=58,I728&lt;=62),"D-60",
AND(I728&gt;=28,I728&lt;=32),"D-30",
AND(I728=0),"당월",
TRUE,"그외")</f>
        <v>D-30</v>
      </c>
    </row>
    <row r="729" spans="1:10" ht="17.649999999999999" customHeight="1" x14ac:dyDescent="0.3">
      <c r="A729" s="4">
        <v>45962</v>
      </c>
      <c r="B729" s="5" t="s">
        <v>11</v>
      </c>
      <c r="C729" s="4">
        <v>45962</v>
      </c>
      <c r="D729" s="5" t="s">
        <v>9</v>
      </c>
      <c r="E729" s="6">
        <v>52</v>
      </c>
      <c r="F729" s="6">
        <v>184565.3846153846</v>
      </c>
      <c r="G729" s="6">
        <v>9597400</v>
      </c>
      <c r="H729" s="6">
        <v>1387400</v>
      </c>
      <c r="I729" s="6">
        <f t="shared" si="11"/>
        <v>0</v>
      </c>
      <c r="J729" t="str" cm="1">
        <f t="array" ref="J729">_xlfn.IFS(
AND(I729&gt;=89,I729&lt;=92),"D-90",
AND(I729&gt;=58,I729&lt;=62),"D-60",
AND(I729&gt;=28,I729&lt;=32),"D-30",
AND(I729=0),"당월",
TRUE,"그외")</f>
        <v>당월</v>
      </c>
    </row>
    <row r="730" spans="1:10" ht="17.649999999999999" customHeight="1" x14ac:dyDescent="0.3">
      <c r="A730" s="4">
        <v>45962</v>
      </c>
      <c r="B730" s="5" t="s">
        <v>11</v>
      </c>
      <c r="C730" s="4">
        <v>45962</v>
      </c>
      <c r="D730" s="5" t="s">
        <v>10</v>
      </c>
      <c r="E730" s="6">
        <v>628</v>
      </c>
      <c r="F730" s="6">
        <v>143822.6401273885</v>
      </c>
      <c r="G730" s="6">
        <v>90320618</v>
      </c>
      <c r="H730" s="6">
        <v>17010853</v>
      </c>
      <c r="I730" s="6">
        <f t="shared" si="11"/>
        <v>0</v>
      </c>
      <c r="J730" t="str" cm="1">
        <f t="array" ref="J730">_xlfn.IFS(
AND(I730&gt;=89,I730&lt;=92),"D-90",
AND(I730&gt;=58,I730&lt;=62),"D-60",
AND(I730&gt;=28,I730&lt;=32),"D-30",
AND(I730=0),"당월",
TRUE,"그외")</f>
        <v>당월</v>
      </c>
    </row>
    <row r="731" spans="1:10" ht="17.649999999999999" customHeight="1" x14ac:dyDescent="0.3">
      <c r="A731" s="4">
        <v>45962</v>
      </c>
      <c r="B731" s="5" t="s">
        <v>12</v>
      </c>
      <c r="C731" s="4">
        <v>45839</v>
      </c>
      <c r="D731" s="5" t="s">
        <v>10</v>
      </c>
      <c r="E731" s="6">
        <v>100</v>
      </c>
      <c r="F731" s="6">
        <v>218316</v>
      </c>
      <c r="G731" s="6">
        <v>21831600</v>
      </c>
      <c r="H731" s="6">
        <v>1650000</v>
      </c>
      <c r="I731" s="6">
        <f t="shared" si="11"/>
        <v>123</v>
      </c>
      <c r="J731" t="str" cm="1">
        <f t="array" ref="J731">_xlfn.IFS(
AND(I731&gt;=89,I731&lt;=92),"D-90",
AND(I731&gt;=58,I731&lt;=62),"D-60",
AND(I731&gt;=28,I731&lt;=32),"D-30",
AND(I731=0),"당월",
TRUE,"그외")</f>
        <v>그외</v>
      </c>
    </row>
    <row r="732" spans="1:10" ht="17.649999999999999" customHeight="1" x14ac:dyDescent="0.3">
      <c r="A732" s="4">
        <v>45962</v>
      </c>
      <c r="B732" s="5" t="s">
        <v>12</v>
      </c>
      <c r="C732" s="4">
        <v>45870</v>
      </c>
      <c r="D732" s="5" t="s">
        <v>9</v>
      </c>
      <c r="E732" s="6">
        <v>39</v>
      </c>
      <c r="F732" s="6">
        <v>160871.7948717949</v>
      </c>
      <c r="G732" s="6">
        <v>6274000</v>
      </c>
      <c r="H732" s="6">
        <v>1014000</v>
      </c>
      <c r="I732" s="6">
        <f t="shared" si="11"/>
        <v>92</v>
      </c>
      <c r="J732" t="str" cm="1">
        <f t="array" ref="J732">_xlfn.IFS(
AND(I732&gt;=89,I732&lt;=92),"D-90",
AND(I732&gt;=58,I732&lt;=62),"D-60",
AND(I732&gt;=28,I732&lt;=32),"D-30",
AND(I732=0),"당월",
TRUE,"그외")</f>
        <v>D-90</v>
      </c>
    </row>
    <row r="733" spans="1:10" ht="17.649999999999999" customHeight="1" x14ac:dyDescent="0.3">
      <c r="A733" s="4">
        <v>45962</v>
      </c>
      <c r="B733" s="5" t="s">
        <v>12</v>
      </c>
      <c r="C733" s="4">
        <v>45870</v>
      </c>
      <c r="D733" s="5" t="s">
        <v>10</v>
      </c>
      <c r="E733" s="6">
        <v>804</v>
      </c>
      <c r="F733" s="6">
        <v>164330.30223880601</v>
      </c>
      <c r="G733" s="6">
        <v>132121563</v>
      </c>
      <c r="H733" s="6">
        <v>20940310</v>
      </c>
      <c r="I733" s="6">
        <f t="shared" si="11"/>
        <v>92</v>
      </c>
      <c r="J733" t="str" cm="1">
        <f t="array" ref="J733">_xlfn.IFS(
AND(I733&gt;=89,I733&lt;=92),"D-90",
AND(I733&gt;=58,I733&lt;=62),"D-60",
AND(I733&gt;=28,I733&lt;=32),"D-30",
AND(I733=0),"당월",
TRUE,"그외")</f>
        <v>D-90</v>
      </c>
    </row>
    <row r="734" spans="1:10" ht="17.649999999999999" customHeight="1" x14ac:dyDescent="0.3">
      <c r="A734" s="4">
        <v>45962</v>
      </c>
      <c r="B734" s="5" t="s">
        <v>12</v>
      </c>
      <c r="C734" s="4">
        <v>45901</v>
      </c>
      <c r="D734" s="5" t="s">
        <v>9</v>
      </c>
      <c r="E734" s="6">
        <v>911</v>
      </c>
      <c r="F734" s="6">
        <v>161997.03622392981</v>
      </c>
      <c r="G734" s="6">
        <v>147579300</v>
      </c>
      <c r="H734" s="6">
        <v>23959300</v>
      </c>
      <c r="I734" s="6">
        <f t="shared" si="11"/>
        <v>61</v>
      </c>
      <c r="J734" t="str" cm="1">
        <f t="array" ref="J734">_xlfn.IFS(
AND(I734&gt;=89,I734&lt;=92),"D-90",
AND(I734&gt;=58,I734&lt;=62),"D-60",
AND(I734&gt;=28,I734&lt;=32),"D-30",
AND(I734=0),"당월",
TRUE,"그외")</f>
        <v>D-60</v>
      </c>
    </row>
    <row r="735" spans="1:10" ht="17.649999999999999" customHeight="1" x14ac:dyDescent="0.3">
      <c r="A735" s="4">
        <v>45962</v>
      </c>
      <c r="B735" s="5" t="s">
        <v>12</v>
      </c>
      <c r="C735" s="4">
        <v>45901</v>
      </c>
      <c r="D735" s="5" t="s">
        <v>10</v>
      </c>
      <c r="E735" s="6">
        <v>1329</v>
      </c>
      <c r="F735" s="6">
        <v>156544.54477050409</v>
      </c>
      <c r="G735" s="6">
        <v>208047700</v>
      </c>
      <c r="H735" s="6">
        <v>34895900</v>
      </c>
      <c r="I735" s="6">
        <f t="shared" si="11"/>
        <v>61</v>
      </c>
      <c r="J735" t="str" cm="1">
        <f t="array" ref="J735">_xlfn.IFS(
AND(I735&gt;=89,I735&lt;=92),"D-90",
AND(I735&gt;=58,I735&lt;=62),"D-60",
AND(I735&gt;=28,I735&lt;=32),"D-30",
AND(I735=0),"당월",
TRUE,"그외")</f>
        <v>D-60</v>
      </c>
    </row>
    <row r="736" spans="1:10" ht="17.649999999999999" customHeight="1" x14ac:dyDescent="0.3">
      <c r="A736" s="4">
        <v>45962</v>
      </c>
      <c r="B736" s="5" t="s">
        <v>12</v>
      </c>
      <c r="C736" s="4">
        <v>45931</v>
      </c>
      <c r="D736" s="5" t="s">
        <v>9</v>
      </c>
      <c r="E736" s="6">
        <v>1418</v>
      </c>
      <c r="F736" s="6">
        <v>133943.65303244011</v>
      </c>
      <c r="G736" s="6">
        <v>189932100</v>
      </c>
      <c r="H736" s="6">
        <v>37423100</v>
      </c>
      <c r="I736" s="6">
        <f t="shared" si="11"/>
        <v>31</v>
      </c>
      <c r="J736" t="str" cm="1">
        <f t="array" ref="J736">_xlfn.IFS(
AND(I736&gt;=89,I736&lt;=92),"D-90",
AND(I736&gt;=58,I736&lt;=62),"D-60",
AND(I736&gt;=28,I736&lt;=32),"D-30",
AND(I736=0),"당월",
TRUE,"그외")</f>
        <v>D-30</v>
      </c>
    </row>
    <row r="737" spans="1:10" ht="17.649999999999999" customHeight="1" x14ac:dyDescent="0.3">
      <c r="A737" s="4">
        <v>45962</v>
      </c>
      <c r="B737" s="5" t="s">
        <v>12</v>
      </c>
      <c r="C737" s="4">
        <v>45931</v>
      </c>
      <c r="D737" s="5" t="s">
        <v>10</v>
      </c>
      <c r="E737" s="6">
        <v>1996</v>
      </c>
      <c r="F737" s="6">
        <v>127763.13426853711</v>
      </c>
      <c r="G737" s="6">
        <v>255015216</v>
      </c>
      <c r="H737" s="6">
        <v>53641682</v>
      </c>
      <c r="I737" s="6">
        <f t="shared" si="11"/>
        <v>31</v>
      </c>
      <c r="J737" t="str" cm="1">
        <f t="array" ref="J737">_xlfn.IFS(
AND(I737&gt;=89,I737&lt;=92),"D-90",
AND(I737&gt;=58,I737&lt;=62),"D-60",
AND(I737&gt;=28,I737&lt;=32),"D-30",
AND(I737=0),"당월",
TRUE,"그외")</f>
        <v>D-30</v>
      </c>
    </row>
    <row r="738" spans="1:10" ht="17.649999999999999" customHeight="1" x14ac:dyDescent="0.3">
      <c r="A738" s="4">
        <v>45962</v>
      </c>
      <c r="B738" s="5" t="s">
        <v>12</v>
      </c>
      <c r="C738" s="4">
        <v>45962</v>
      </c>
      <c r="D738" s="5" t="s">
        <v>9</v>
      </c>
      <c r="E738" s="6">
        <v>1589</v>
      </c>
      <c r="F738" s="6">
        <v>129997.1050975456</v>
      </c>
      <c r="G738" s="6">
        <v>206565400</v>
      </c>
      <c r="H738" s="6">
        <v>42335400</v>
      </c>
      <c r="I738" s="6">
        <f t="shared" si="11"/>
        <v>0</v>
      </c>
      <c r="J738" t="str" cm="1">
        <f t="array" ref="J738">_xlfn.IFS(
AND(I738&gt;=89,I738&lt;=92),"D-90",
AND(I738&gt;=58,I738&lt;=62),"D-60",
AND(I738&gt;=28,I738&lt;=32),"D-30",
AND(I738=0),"당월",
TRUE,"그외")</f>
        <v>당월</v>
      </c>
    </row>
    <row r="739" spans="1:10" ht="17.649999999999999" customHeight="1" x14ac:dyDescent="0.3">
      <c r="A739" s="4">
        <v>45962</v>
      </c>
      <c r="B739" s="5" t="s">
        <v>12</v>
      </c>
      <c r="C739" s="4">
        <v>45962</v>
      </c>
      <c r="D739" s="5" t="s">
        <v>10</v>
      </c>
      <c r="E739" s="6">
        <v>837</v>
      </c>
      <c r="F739" s="6">
        <v>129282.6356033453</v>
      </c>
      <c r="G739" s="6">
        <v>108209566</v>
      </c>
      <c r="H739" s="6">
        <v>23101229</v>
      </c>
      <c r="I739" s="6">
        <f t="shared" si="11"/>
        <v>0</v>
      </c>
      <c r="J739" t="str" cm="1">
        <f t="array" ref="J739">_xlfn.IFS(
AND(I739&gt;=89,I739&lt;=92),"D-90",
AND(I739&gt;=58,I739&lt;=62),"D-60",
AND(I739&gt;=28,I739&lt;=32),"D-30",
AND(I739=0),"당월",
TRUE,"그외")</f>
        <v>당월</v>
      </c>
    </row>
    <row r="740" spans="1:10" ht="17.649999999999999" customHeight="1" x14ac:dyDescent="0.3">
      <c r="A740" s="4">
        <v>45962</v>
      </c>
      <c r="B740" s="5" t="s">
        <v>13</v>
      </c>
      <c r="C740" s="4">
        <v>45839</v>
      </c>
      <c r="D740" s="5" t="s">
        <v>10</v>
      </c>
      <c r="E740" s="6">
        <v>68</v>
      </c>
      <c r="F740" s="6">
        <v>175323.5294117647</v>
      </c>
      <c r="G740" s="6">
        <v>11922000</v>
      </c>
      <c r="H740" s="6">
        <v>1122000</v>
      </c>
      <c r="I740" s="6">
        <f t="shared" si="11"/>
        <v>123</v>
      </c>
      <c r="J740" t="str" cm="1">
        <f t="array" ref="J740">_xlfn.IFS(
AND(I740&gt;=89,I740&lt;=92),"D-90",
AND(I740&gt;=58,I740&lt;=62),"D-60",
AND(I740&gt;=28,I740&lt;=32),"D-30",
AND(I740=0),"당월",
TRUE,"그외")</f>
        <v>그외</v>
      </c>
    </row>
    <row r="741" spans="1:10" ht="17.649999999999999" customHeight="1" x14ac:dyDescent="0.3">
      <c r="A741" s="4">
        <v>45962</v>
      </c>
      <c r="B741" s="5" t="s">
        <v>13</v>
      </c>
      <c r="C741" s="4">
        <v>45870</v>
      </c>
      <c r="D741" s="5" t="s">
        <v>9</v>
      </c>
      <c r="E741" s="6">
        <v>8</v>
      </c>
      <c r="F741" s="6">
        <v>156500</v>
      </c>
      <c r="G741" s="6">
        <v>1252000</v>
      </c>
      <c r="H741" s="6">
        <v>208000</v>
      </c>
      <c r="I741" s="6">
        <f t="shared" si="11"/>
        <v>92</v>
      </c>
      <c r="J741" t="str" cm="1">
        <f t="array" ref="J741">_xlfn.IFS(
AND(I741&gt;=89,I741&lt;=92),"D-90",
AND(I741&gt;=58,I741&lt;=62),"D-60",
AND(I741&gt;=28,I741&lt;=32),"D-30",
AND(I741=0),"당월",
TRUE,"그외")</f>
        <v>D-90</v>
      </c>
    </row>
    <row r="742" spans="1:10" ht="17.649999999999999" customHeight="1" x14ac:dyDescent="0.3">
      <c r="A742" s="4">
        <v>45962</v>
      </c>
      <c r="B742" s="5" t="s">
        <v>13</v>
      </c>
      <c r="C742" s="4">
        <v>45870</v>
      </c>
      <c r="D742" s="5" t="s">
        <v>10</v>
      </c>
      <c r="E742" s="6">
        <v>610</v>
      </c>
      <c r="F742" s="6">
        <v>167815.04918032789</v>
      </c>
      <c r="G742" s="6">
        <v>102367180</v>
      </c>
      <c r="H742" s="6">
        <v>16031380</v>
      </c>
      <c r="I742" s="6">
        <f t="shared" si="11"/>
        <v>92</v>
      </c>
      <c r="J742" t="str" cm="1">
        <f t="array" ref="J742">_xlfn.IFS(
AND(I742&gt;=89,I742&lt;=92),"D-90",
AND(I742&gt;=58,I742&lt;=62),"D-60",
AND(I742&gt;=28,I742&lt;=32),"D-30",
AND(I742=0),"당월",
TRUE,"그외")</f>
        <v>D-90</v>
      </c>
    </row>
    <row r="743" spans="1:10" ht="17.649999999999999" customHeight="1" x14ac:dyDescent="0.3">
      <c r="A743" s="4">
        <v>45962</v>
      </c>
      <c r="B743" s="5" t="s">
        <v>13</v>
      </c>
      <c r="C743" s="4">
        <v>45901</v>
      </c>
      <c r="D743" s="5" t="s">
        <v>9</v>
      </c>
      <c r="E743" s="6">
        <v>1018</v>
      </c>
      <c r="F743" s="6">
        <v>144251.86640471511</v>
      </c>
      <c r="G743" s="6">
        <v>146848400</v>
      </c>
      <c r="H743" s="6">
        <v>26773400</v>
      </c>
      <c r="I743" s="6">
        <f t="shared" si="11"/>
        <v>61</v>
      </c>
      <c r="J743" t="str" cm="1">
        <f t="array" ref="J743">_xlfn.IFS(
AND(I743&gt;=89,I743&lt;=92),"D-90",
AND(I743&gt;=58,I743&lt;=62),"D-60",
AND(I743&gt;=28,I743&lt;=32),"D-30",
AND(I743=0),"당월",
TRUE,"그외")</f>
        <v>D-60</v>
      </c>
    </row>
    <row r="744" spans="1:10" ht="17.649999999999999" customHeight="1" x14ac:dyDescent="0.3">
      <c r="A744" s="4">
        <v>45962</v>
      </c>
      <c r="B744" s="5" t="s">
        <v>13</v>
      </c>
      <c r="C744" s="4">
        <v>45901</v>
      </c>
      <c r="D744" s="5" t="s">
        <v>10</v>
      </c>
      <c r="E744" s="6">
        <v>1704</v>
      </c>
      <c r="F744" s="6">
        <v>140833.82629107981</v>
      </c>
      <c r="G744" s="6">
        <v>239980840</v>
      </c>
      <c r="H744" s="6">
        <v>46531980</v>
      </c>
      <c r="I744" s="6">
        <f t="shared" si="11"/>
        <v>61</v>
      </c>
      <c r="J744" t="str" cm="1">
        <f t="array" ref="J744">_xlfn.IFS(
AND(I744&gt;=89,I744&lt;=92),"D-90",
AND(I744&gt;=58,I744&lt;=62),"D-60",
AND(I744&gt;=28,I744&lt;=32),"D-30",
AND(I744=0),"당월",
TRUE,"그외")</f>
        <v>D-60</v>
      </c>
    </row>
    <row r="745" spans="1:10" ht="17.649999999999999" customHeight="1" x14ac:dyDescent="0.3">
      <c r="A745" s="4">
        <v>45962</v>
      </c>
      <c r="B745" s="5" t="s">
        <v>13</v>
      </c>
      <c r="C745" s="4">
        <v>45931</v>
      </c>
      <c r="D745" s="5" t="s">
        <v>9</v>
      </c>
      <c r="E745" s="6">
        <v>1450</v>
      </c>
      <c r="F745" s="6">
        <v>124559.31034482759</v>
      </c>
      <c r="G745" s="6">
        <v>180611000</v>
      </c>
      <c r="H745" s="6">
        <v>38280000</v>
      </c>
      <c r="I745" s="6">
        <f t="shared" si="11"/>
        <v>31</v>
      </c>
      <c r="J745" t="str" cm="1">
        <f t="array" ref="J745">_xlfn.IFS(
AND(I745&gt;=89,I745&lt;=92),"D-90",
AND(I745&gt;=58,I745&lt;=62),"D-60",
AND(I745&gt;=28,I745&lt;=32),"D-30",
AND(I745=0),"당월",
TRUE,"그외")</f>
        <v>D-30</v>
      </c>
    </row>
    <row r="746" spans="1:10" ht="17.649999999999999" customHeight="1" x14ac:dyDescent="0.3">
      <c r="A746" s="4">
        <v>45962</v>
      </c>
      <c r="B746" s="5" t="s">
        <v>13</v>
      </c>
      <c r="C746" s="4">
        <v>45931</v>
      </c>
      <c r="D746" s="5" t="s">
        <v>10</v>
      </c>
      <c r="E746" s="6">
        <v>1881</v>
      </c>
      <c r="F746" s="6">
        <v>136195.43328017011</v>
      </c>
      <c r="G746" s="6">
        <v>256183610</v>
      </c>
      <c r="H746" s="6">
        <v>51295778</v>
      </c>
      <c r="I746" s="6">
        <f t="shared" si="11"/>
        <v>31</v>
      </c>
      <c r="J746" t="str" cm="1">
        <f t="array" ref="J746">_xlfn.IFS(
AND(I746&gt;=89,I746&lt;=92),"D-90",
AND(I746&gt;=58,I746&lt;=62),"D-60",
AND(I746&gt;=28,I746&lt;=32),"D-30",
AND(I746=0),"당월",
TRUE,"그외")</f>
        <v>D-30</v>
      </c>
    </row>
    <row r="747" spans="1:10" ht="17.649999999999999" customHeight="1" x14ac:dyDescent="0.3">
      <c r="A747" s="4">
        <v>45962</v>
      </c>
      <c r="B747" s="5" t="s">
        <v>13</v>
      </c>
      <c r="C747" s="4">
        <v>45962</v>
      </c>
      <c r="D747" s="5" t="s">
        <v>9</v>
      </c>
      <c r="E747" s="6">
        <v>1019</v>
      </c>
      <c r="F747" s="6">
        <v>106788.91069676149</v>
      </c>
      <c r="G747" s="6">
        <v>108817900</v>
      </c>
      <c r="H747" s="6">
        <v>27204900</v>
      </c>
      <c r="I747" s="6">
        <f t="shared" si="11"/>
        <v>0</v>
      </c>
      <c r="J747" t="str" cm="1">
        <f t="array" ref="J747">_xlfn.IFS(
AND(I747&gt;=89,I747&lt;=92),"D-90",
AND(I747&gt;=58,I747&lt;=62),"D-60",
AND(I747&gt;=28,I747&lt;=32),"D-30",
AND(I747=0),"당월",
TRUE,"그외")</f>
        <v>당월</v>
      </c>
    </row>
    <row r="748" spans="1:10" ht="17.649999999999999" customHeight="1" x14ac:dyDescent="0.3">
      <c r="A748" s="4">
        <v>45962</v>
      </c>
      <c r="B748" s="5" t="s">
        <v>13</v>
      </c>
      <c r="C748" s="4">
        <v>45962</v>
      </c>
      <c r="D748" s="5" t="s">
        <v>10</v>
      </c>
      <c r="E748" s="6">
        <v>916</v>
      </c>
      <c r="F748" s="6">
        <v>125944.2183406113</v>
      </c>
      <c r="G748" s="6">
        <v>115364904</v>
      </c>
      <c r="H748" s="6">
        <v>26040768</v>
      </c>
      <c r="I748" s="6">
        <f t="shared" si="11"/>
        <v>0</v>
      </c>
      <c r="J748" t="str" cm="1">
        <f t="array" ref="J748">_xlfn.IFS(
AND(I748&gt;=89,I748&lt;=92),"D-90",
AND(I748&gt;=58,I748&lt;=62),"D-60",
AND(I748&gt;=28,I748&lt;=32),"D-30",
AND(I748=0),"당월",
TRUE,"그외")</f>
        <v>당월</v>
      </c>
    </row>
    <row r="749" spans="1:10" ht="17.649999999999999" customHeight="1" x14ac:dyDescent="0.3">
      <c r="A749" s="4">
        <v>45992</v>
      </c>
      <c r="B749" s="5" t="s">
        <v>8</v>
      </c>
      <c r="C749" s="4">
        <v>45839</v>
      </c>
      <c r="D749" s="5" t="s">
        <v>10</v>
      </c>
      <c r="E749" s="6">
        <v>1029</v>
      </c>
      <c r="F749" s="6">
        <v>177399.86103012631</v>
      </c>
      <c r="G749" s="6">
        <v>182544457</v>
      </c>
      <c r="H749" s="6">
        <v>17561024</v>
      </c>
      <c r="I749" s="6">
        <f t="shared" si="11"/>
        <v>153</v>
      </c>
      <c r="J749" t="str" cm="1">
        <f t="array" ref="J749">_xlfn.IFS(
AND(I749&gt;=89,I749&lt;=92),"D-90",
AND(I749&gt;=58,I749&lt;=62),"D-60",
AND(I749&gt;=28,I749&lt;=32),"D-30",
AND(I749=0),"당월",
TRUE,"그외")</f>
        <v>그외</v>
      </c>
    </row>
    <row r="750" spans="1:10" ht="17.649999999999999" customHeight="1" x14ac:dyDescent="0.3">
      <c r="A750" s="4">
        <v>45992</v>
      </c>
      <c r="B750" s="5" t="s">
        <v>8</v>
      </c>
      <c r="C750" s="4">
        <v>45870</v>
      </c>
      <c r="D750" s="5" t="s">
        <v>9</v>
      </c>
      <c r="E750" s="6">
        <v>8</v>
      </c>
      <c r="F750" s="6">
        <v>146000</v>
      </c>
      <c r="G750" s="6">
        <v>1168000</v>
      </c>
      <c r="H750" s="6">
        <v>208000</v>
      </c>
      <c r="I750" s="6">
        <f t="shared" si="11"/>
        <v>122</v>
      </c>
      <c r="J750" t="str" cm="1">
        <f t="array" ref="J750">_xlfn.IFS(
AND(I750&gt;=89,I750&lt;=92),"D-90",
AND(I750&gt;=58,I750&lt;=62),"D-60",
AND(I750&gt;=28,I750&lt;=32),"D-30",
AND(I750=0),"당월",
TRUE,"그외")</f>
        <v>그외</v>
      </c>
    </row>
    <row r="751" spans="1:10" ht="17.649999999999999" customHeight="1" x14ac:dyDescent="0.3">
      <c r="A751" s="4">
        <v>45992</v>
      </c>
      <c r="B751" s="5" t="s">
        <v>8</v>
      </c>
      <c r="C751" s="4">
        <v>45870</v>
      </c>
      <c r="D751" s="5" t="s">
        <v>10</v>
      </c>
      <c r="E751" s="6">
        <v>841</v>
      </c>
      <c r="F751" s="6">
        <v>188817.16290130801</v>
      </c>
      <c r="G751" s="6">
        <v>158795234</v>
      </c>
      <c r="H751" s="6">
        <v>22041571</v>
      </c>
      <c r="I751" s="6">
        <f t="shared" si="11"/>
        <v>122</v>
      </c>
      <c r="J751" t="str" cm="1">
        <f t="array" ref="J751">_xlfn.IFS(
AND(I751&gt;=89,I751&lt;=92),"D-90",
AND(I751&gt;=58,I751&lt;=62),"D-60",
AND(I751&gt;=28,I751&lt;=32),"D-30",
AND(I751=0),"당월",
TRUE,"그외")</f>
        <v>그외</v>
      </c>
    </row>
    <row r="752" spans="1:10" ht="17.649999999999999" customHeight="1" x14ac:dyDescent="0.3">
      <c r="A752" s="4">
        <v>45992</v>
      </c>
      <c r="B752" s="5" t="s">
        <v>8</v>
      </c>
      <c r="C752" s="4">
        <v>45901</v>
      </c>
      <c r="D752" s="5" t="s">
        <v>9</v>
      </c>
      <c r="E752" s="6">
        <v>967</v>
      </c>
      <c r="F752" s="6">
        <v>143185.2119958635</v>
      </c>
      <c r="G752" s="6">
        <v>138460100</v>
      </c>
      <c r="H752" s="6">
        <v>25432100</v>
      </c>
      <c r="I752" s="6">
        <f t="shared" si="11"/>
        <v>91</v>
      </c>
      <c r="J752" t="str" cm="1">
        <f t="array" ref="J752">_xlfn.IFS(
AND(I752&gt;=89,I752&lt;=92),"D-90",
AND(I752&gt;=58,I752&lt;=62),"D-60",
AND(I752&gt;=28,I752&lt;=32),"D-30",
AND(I752=0),"당월",
TRUE,"그외")</f>
        <v>D-90</v>
      </c>
    </row>
    <row r="753" spans="1:10" ht="17.649999999999999" customHeight="1" x14ac:dyDescent="0.3">
      <c r="A753" s="4">
        <v>45992</v>
      </c>
      <c r="B753" s="5" t="s">
        <v>8</v>
      </c>
      <c r="C753" s="4">
        <v>45901</v>
      </c>
      <c r="D753" s="5" t="s">
        <v>10</v>
      </c>
      <c r="E753" s="6">
        <v>1147</v>
      </c>
      <c r="F753" s="6">
        <v>213761.84829991279</v>
      </c>
      <c r="G753" s="6">
        <v>245184840</v>
      </c>
      <c r="H753" s="6">
        <v>30352536</v>
      </c>
      <c r="I753" s="6">
        <f t="shared" si="11"/>
        <v>91</v>
      </c>
      <c r="J753" t="str" cm="1">
        <f t="array" ref="J753">_xlfn.IFS(
AND(I753&gt;=89,I753&lt;=92),"D-90",
AND(I753&gt;=58,I753&lt;=62),"D-60",
AND(I753&gt;=28,I753&lt;=32),"D-30",
AND(I753=0),"당월",
TRUE,"그외")</f>
        <v>D-90</v>
      </c>
    </row>
    <row r="754" spans="1:10" ht="17.649999999999999" customHeight="1" x14ac:dyDescent="0.3">
      <c r="A754" s="4">
        <v>45992</v>
      </c>
      <c r="B754" s="5" t="s">
        <v>8</v>
      </c>
      <c r="C754" s="4">
        <v>45931</v>
      </c>
      <c r="D754" s="5" t="s">
        <v>9</v>
      </c>
      <c r="E754" s="6">
        <v>235</v>
      </c>
      <c r="F754" s="6">
        <v>262385.5319148936</v>
      </c>
      <c r="G754" s="6">
        <v>61660600</v>
      </c>
      <c r="H754" s="6">
        <v>5992600</v>
      </c>
      <c r="I754" s="6">
        <f t="shared" si="11"/>
        <v>61</v>
      </c>
      <c r="J754" t="str" cm="1">
        <f t="array" ref="J754">_xlfn.IFS(
AND(I754&gt;=89,I754&lt;=92),"D-90",
AND(I754&gt;=58,I754&lt;=62),"D-60",
AND(I754&gt;=28,I754&lt;=32),"D-30",
AND(I754=0),"당월",
TRUE,"그외")</f>
        <v>D-60</v>
      </c>
    </row>
    <row r="755" spans="1:10" ht="17.649999999999999" customHeight="1" x14ac:dyDescent="0.3">
      <c r="A755" s="4">
        <v>45992</v>
      </c>
      <c r="B755" s="5" t="s">
        <v>8</v>
      </c>
      <c r="C755" s="4">
        <v>45931</v>
      </c>
      <c r="D755" s="5" t="s">
        <v>10</v>
      </c>
      <c r="E755" s="6">
        <v>1998</v>
      </c>
      <c r="F755" s="6">
        <v>205086.1806806807</v>
      </c>
      <c r="G755" s="6">
        <v>409762189</v>
      </c>
      <c r="H755" s="6">
        <v>53272294</v>
      </c>
      <c r="I755" s="6">
        <f t="shared" si="11"/>
        <v>61</v>
      </c>
      <c r="J755" t="str" cm="1">
        <f t="array" ref="J755">_xlfn.IFS(
AND(I755&gt;=89,I755&lt;=92),"D-90",
AND(I755&gt;=58,I755&lt;=62),"D-60",
AND(I755&gt;=28,I755&lt;=32),"D-30",
AND(I755=0),"당월",
TRUE,"그외")</f>
        <v>D-60</v>
      </c>
    </row>
    <row r="756" spans="1:10" ht="17.649999999999999" customHeight="1" x14ac:dyDescent="0.3">
      <c r="A756" s="4">
        <v>45992</v>
      </c>
      <c r="B756" s="5" t="s">
        <v>8</v>
      </c>
      <c r="C756" s="4">
        <v>45962</v>
      </c>
      <c r="D756" s="5" t="s">
        <v>9</v>
      </c>
      <c r="E756" s="6">
        <v>1012</v>
      </c>
      <c r="F756" s="6">
        <v>452066.20553359692</v>
      </c>
      <c r="G756" s="6">
        <v>457491000</v>
      </c>
      <c r="H756" s="6">
        <v>24028000</v>
      </c>
      <c r="I756" s="6">
        <f t="shared" si="11"/>
        <v>30</v>
      </c>
      <c r="J756" t="str" cm="1">
        <f t="array" ref="J756">_xlfn.IFS(
AND(I756&gt;=89,I756&lt;=92),"D-90",
AND(I756&gt;=58,I756&lt;=62),"D-60",
AND(I756&gt;=28,I756&lt;=32),"D-30",
AND(I756=0),"당월",
TRUE,"그외")</f>
        <v>D-30</v>
      </c>
    </row>
    <row r="757" spans="1:10" ht="17.649999999999999" customHeight="1" x14ac:dyDescent="0.3">
      <c r="A757" s="4">
        <v>45992</v>
      </c>
      <c r="B757" s="5" t="s">
        <v>8</v>
      </c>
      <c r="C757" s="4">
        <v>45962</v>
      </c>
      <c r="D757" s="5" t="s">
        <v>10</v>
      </c>
      <c r="E757" s="6">
        <v>1068</v>
      </c>
      <c r="F757" s="6">
        <v>191503.76685393261</v>
      </c>
      <c r="G757" s="6">
        <v>204526023</v>
      </c>
      <c r="H757" s="6">
        <v>28614291</v>
      </c>
      <c r="I757" s="6">
        <f t="shared" si="11"/>
        <v>30</v>
      </c>
      <c r="J757" t="str" cm="1">
        <f t="array" ref="J757">_xlfn.IFS(
AND(I757&gt;=89,I757&lt;=92),"D-90",
AND(I757&gt;=58,I757&lt;=62),"D-60",
AND(I757&gt;=28,I757&lt;=32),"D-30",
AND(I757=0),"당월",
TRUE,"그외")</f>
        <v>D-30</v>
      </c>
    </row>
    <row r="758" spans="1:10" ht="17.649999999999999" customHeight="1" x14ac:dyDescent="0.3">
      <c r="A758" s="4">
        <v>45992</v>
      </c>
      <c r="B758" s="5" t="s">
        <v>8</v>
      </c>
      <c r="C758" s="4">
        <v>45992</v>
      </c>
      <c r="D758" s="5" t="s">
        <v>9</v>
      </c>
      <c r="E758" s="6">
        <v>2360</v>
      </c>
      <c r="F758" s="6">
        <v>40727.796610169491</v>
      </c>
      <c r="G758" s="6">
        <v>96117600</v>
      </c>
      <c r="H758" s="6">
        <v>74779600</v>
      </c>
      <c r="I758" s="6">
        <f t="shared" si="11"/>
        <v>0</v>
      </c>
      <c r="J758" t="str" cm="1">
        <f t="array" ref="J758">_xlfn.IFS(
AND(I758&gt;=89,I758&lt;=92),"D-90",
AND(I758&gt;=58,I758&lt;=62),"D-60",
AND(I758&gt;=28,I758&lt;=32),"D-30",
AND(I758=0),"당월",
TRUE,"그외")</f>
        <v>당월</v>
      </c>
    </row>
    <row r="759" spans="1:10" ht="17.649999999999999" customHeight="1" x14ac:dyDescent="0.3">
      <c r="A759" s="4">
        <v>45992</v>
      </c>
      <c r="B759" s="5" t="s">
        <v>8</v>
      </c>
      <c r="C759" s="4">
        <v>45992</v>
      </c>
      <c r="D759" s="5" t="s">
        <v>10</v>
      </c>
      <c r="E759" s="6">
        <v>986</v>
      </c>
      <c r="F759" s="6">
        <v>222219.8823529412</v>
      </c>
      <c r="G759" s="6">
        <v>219108804</v>
      </c>
      <c r="H759" s="6">
        <v>30887287</v>
      </c>
      <c r="I759" s="6">
        <f t="shared" si="11"/>
        <v>0</v>
      </c>
      <c r="J759" t="str" cm="1">
        <f t="array" ref="J759">_xlfn.IFS(
AND(I759&gt;=89,I759&lt;=92),"D-90",
AND(I759&gt;=58,I759&lt;=62),"D-60",
AND(I759&gt;=28,I759&lt;=32),"D-30",
AND(I759=0),"당월",
TRUE,"그외")</f>
        <v>당월</v>
      </c>
    </row>
    <row r="760" spans="1:10" ht="17.649999999999999" customHeight="1" x14ac:dyDescent="0.3">
      <c r="A760" s="4">
        <v>45992</v>
      </c>
      <c r="B760" s="5" t="s">
        <v>11</v>
      </c>
      <c r="C760" s="4">
        <v>45839</v>
      </c>
      <c r="D760" s="5" t="s">
        <v>10</v>
      </c>
      <c r="E760" s="6">
        <v>345</v>
      </c>
      <c r="F760" s="6">
        <v>211188.40579710141</v>
      </c>
      <c r="G760" s="6">
        <v>72860000</v>
      </c>
      <c r="H760" s="6">
        <v>5692500</v>
      </c>
      <c r="I760" s="6">
        <f t="shared" si="11"/>
        <v>153</v>
      </c>
      <c r="J760" t="str" cm="1">
        <f t="array" ref="J760">_xlfn.IFS(
AND(I760&gt;=89,I760&lt;=92),"D-90",
AND(I760&gt;=58,I760&lt;=62),"D-60",
AND(I760&gt;=28,I760&lt;=32),"D-30",
AND(I760=0),"당월",
TRUE,"그외")</f>
        <v>그외</v>
      </c>
    </row>
    <row r="761" spans="1:10" ht="17.649999999999999" customHeight="1" x14ac:dyDescent="0.3">
      <c r="A761" s="4">
        <v>45992</v>
      </c>
      <c r="B761" s="5" t="s">
        <v>11</v>
      </c>
      <c r="C761" s="4">
        <v>45870</v>
      </c>
      <c r="D761" s="5" t="s">
        <v>9</v>
      </c>
      <c r="E761" s="6">
        <v>20</v>
      </c>
      <c r="F761" s="6">
        <v>208000</v>
      </c>
      <c r="G761" s="6">
        <v>4160000</v>
      </c>
      <c r="H761" s="6">
        <v>520000</v>
      </c>
      <c r="I761" s="6">
        <f t="shared" si="11"/>
        <v>122</v>
      </c>
      <c r="J761" t="str" cm="1">
        <f t="array" ref="J761">_xlfn.IFS(
AND(I761&gt;=89,I761&lt;=92),"D-90",
AND(I761&gt;=58,I761&lt;=62),"D-60",
AND(I761&gt;=28,I761&lt;=32),"D-30",
AND(I761=0),"당월",
TRUE,"그외")</f>
        <v>그외</v>
      </c>
    </row>
    <row r="762" spans="1:10" ht="17.649999999999999" customHeight="1" x14ac:dyDescent="0.3">
      <c r="A762" s="4">
        <v>45992</v>
      </c>
      <c r="B762" s="5" t="s">
        <v>11</v>
      </c>
      <c r="C762" s="4">
        <v>45870</v>
      </c>
      <c r="D762" s="5" t="s">
        <v>10</v>
      </c>
      <c r="E762" s="6">
        <v>498</v>
      </c>
      <c r="F762" s="6">
        <v>222176.9076305221</v>
      </c>
      <c r="G762" s="6">
        <v>110644100</v>
      </c>
      <c r="H762" s="6">
        <v>12929000</v>
      </c>
      <c r="I762" s="6">
        <f t="shared" si="11"/>
        <v>122</v>
      </c>
      <c r="J762" t="str" cm="1">
        <f t="array" ref="J762">_xlfn.IFS(
AND(I762&gt;=89,I762&lt;=92),"D-90",
AND(I762&gt;=58,I762&lt;=62),"D-60",
AND(I762&gt;=28,I762&lt;=32),"D-30",
AND(I762=0),"당월",
TRUE,"그외")</f>
        <v>그외</v>
      </c>
    </row>
    <row r="763" spans="1:10" ht="17.649999999999999" customHeight="1" x14ac:dyDescent="0.3">
      <c r="A763" s="4">
        <v>45992</v>
      </c>
      <c r="B763" s="5" t="s">
        <v>11</v>
      </c>
      <c r="C763" s="4">
        <v>45901</v>
      </c>
      <c r="D763" s="5" t="s">
        <v>9</v>
      </c>
      <c r="E763" s="6">
        <v>286</v>
      </c>
      <c r="F763" s="6">
        <v>162394.4055944056</v>
      </c>
      <c r="G763" s="6">
        <v>46444800</v>
      </c>
      <c r="H763" s="6">
        <v>7521800</v>
      </c>
      <c r="I763" s="6">
        <f t="shared" si="11"/>
        <v>91</v>
      </c>
      <c r="J763" t="str" cm="1">
        <f t="array" ref="J763">_xlfn.IFS(
AND(I763&gt;=89,I763&lt;=92),"D-90",
AND(I763&gt;=58,I763&lt;=62),"D-60",
AND(I763&gt;=28,I763&lt;=32),"D-30",
AND(I763=0),"당월",
TRUE,"그외")</f>
        <v>D-90</v>
      </c>
    </row>
    <row r="764" spans="1:10" ht="17.649999999999999" customHeight="1" x14ac:dyDescent="0.3">
      <c r="A764" s="4">
        <v>45992</v>
      </c>
      <c r="B764" s="5" t="s">
        <v>11</v>
      </c>
      <c r="C764" s="4">
        <v>45901</v>
      </c>
      <c r="D764" s="5" t="s">
        <v>10</v>
      </c>
      <c r="E764" s="6">
        <v>1653</v>
      </c>
      <c r="F764" s="6">
        <v>186336.75075620081</v>
      </c>
      <c r="G764" s="6">
        <v>308014649</v>
      </c>
      <c r="H764" s="6">
        <v>43597610</v>
      </c>
      <c r="I764" s="6">
        <f t="shared" si="11"/>
        <v>91</v>
      </c>
      <c r="J764" t="str" cm="1">
        <f t="array" ref="J764">_xlfn.IFS(
AND(I764&gt;=89,I764&lt;=92),"D-90",
AND(I764&gt;=58,I764&lt;=62),"D-60",
AND(I764&gt;=28,I764&lt;=32),"D-30",
AND(I764=0),"당월",
TRUE,"그외")</f>
        <v>D-90</v>
      </c>
    </row>
    <row r="765" spans="1:10" ht="17.649999999999999" customHeight="1" x14ac:dyDescent="0.3">
      <c r="A765" s="4">
        <v>45992</v>
      </c>
      <c r="B765" s="5" t="s">
        <v>11</v>
      </c>
      <c r="C765" s="4">
        <v>45931</v>
      </c>
      <c r="D765" s="5" t="s">
        <v>9</v>
      </c>
      <c r="E765" s="6">
        <v>1182</v>
      </c>
      <c r="F765" s="6">
        <v>154563.28257191199</v>
      </c>
      <c r="G765" s="6">
        <v>182693800</v>
      </c>
      <c r="H765" s="6">
        <v>31204800</v>
      </c>
      <c r="I765" s="6">
        <f t="shared" si="11"/>
        <v>61</v>
      </c>
      <c r="J765" t="str" cm="1">
        <f t="array" ref="J765">_xlfn.IFS(
AND(I765&gt;=89,I765&lt;=92),"D-90",
AND(I765&gt;=58,I765&lt;=62),"D-60",
AND(I765&gt;=28,I765&lt;=32),"D-30",
AND(I765=0),"당월",
TRUE,"그외")</f>
        <v>D-60</v>
      </c>
    </row>
    <row r="766" spans="1:10" ht="17.649999999999999" customHeight="1" x14ac:dyDescent="0.3">
      <c r="A766" s="4">
        <v>45992</v>
      </c>
      <c r="B766" s="5" t="s">
        <v>11</v>
      </c>
      <c r="C766" s="4">
        <v>45931</v>
      </c>
      <c r="D766" s="5" t="s">
        <v>10</v>
      </c>
      <c r="E766" s="6">
        <v>2250</v>
      </c>
      <c r="F766" s="6">
        <v>169274.45555555561</v>
      </c>
      <c r="G766" s="6">
        <v>380867525</v>
      </c>
      <c r="H766" s="6">
        <v>59527400</v>
      </c>
      <c r="I766" s="6">
        <f t="shared" si="11"/>
        <v>61</v>
      </c>
      <c r="J766" t="str" cm="1">
        <f t="array" ref="J766">_xlfn.IFS(
AND(I766&gt;=89,I766&lt;=92),"D-90",
AND(I766&gt;=58,I766&lt;=62),"D-60",
AND(I766&gt;=28,I766&lt;=32),"D-30",
AND(I766=0),"당월",
TRUE,"그외")</f>
        <v>D-60</v>
      </c>
    </row>
    <row r="767" spans="1:10" ht="17.649999999999999" customHeight="1" x14ac:dyDescent="0.3">
      <c r="A767" s="4">
        <v>45992</v>
      </c>
      <c r="B767" s="5" t="s">
        <v>11</v>
      </c>
      <c r="C767" s="4">
        <v>45962</v>
      </c>
      <c r="D767" s="5" t="s">
        <v>9</v>
      </c>
      <c r="E767" s="6">
        <v>1072</v>
      </c>
      <c r="F767" s="6">
        <v>164738.05970149249</v>
      </c>
      <c r="G767" s="6">
        <v>176599200</v>
      </c>
      <c r="H767" s="6">
        <v>28621200</v>
      </c>
      <c r="I767" s="6">
        <f t="shared" si="11"/>
        <v>30</v>
      </c>
      <c r="J767" t="str" cm="1">
        <f t="array" ref="J767">_xlfn.IFS(
AND(I767&gt;=89,I767&lt;=92),"D-90",
AND(I767&gt;=58,I767&lt;=62),"D-60",
AND(I767&gt;=28,I767&lt;=32),"D-30",
AND(I767=0),"당월",
TRUE,"그외")</f>
        <v>D-30</v>
      </c>
    </row>
    <row r="768" spans="1:10" ht="17.649999999999999" customHeight="1" x14ac:dyDescent="0.3">
      <c r="A768" s="4">
        <v>45992</v>
      </c>
      <c r="B768" s="5" t="s">
        <v>11</v>
      </c>
      <c r="C768" s="4">
        <v>45962</v>
      </c>
      <c r="D768" s="5" t="s">
        <v>10</v>
      </c>
      <c r="E768" s="6">
        <v>2916</v>
      </c>
      <c r="F768" s="6">
        <v>157480.75171467761</v>
      </c>
      <c r="G768" s="6">
        <v>459213872</v>
      </c>
      <c r="H768" s="6">
        <v>78439919</v>
      </c>
      <c r="I768" s="6">
        <f t="shared" si="11"/>
        <v>30</v>
      </c>
      <c r="J768" t="str" cm="1">
        <f t="array" ref="J768">_xlfn.IFS(
AND(I768&gt;=89,I768&lt;=92),"D-90",
AND(I768&gt;=58,I768&lt;=62),"D-60",
AND(I768&gt;=28,I768&lt;=32),"D-30",
AND(I768=0),"당월",
TRUE,"그외")</f>
        <v>D-30</v>
      </c>
    </row>
    <row r="769" spans="1:10" ht="17.649999999999999" customHeight="1" x14ac:dyDescent="0.3">
      <c r="A769" s="4">
        <v>45992</v>
      </c>
      <c r="B769" s="5" t="s">
        <v>11</v>
      </c>
      <c r="C769" s="4">
        <v>45992</v>
      </c>
      <c r="D769" s="5" t="s">
        <v>9</v>
      </c>
      <c r="E769" s="6">
        <v>130</v>
      </c>
      <c r="F769" s="6">
        <v>272649.23076923081</v>
      </c>
      <c r="G769" s="6">
        <v>35444400</v>
      </c>
      <c r="H769" s="6">
        <v>4110400</v>
      </c>
      <c r="I769" s="6">
        <f t="shared" si="11"/>
        <v>0</v>
      </c>
      <c r="J769" t="str" cm="1">
        <f t="array" ref="J769">_xlfn.IFS(
AND(I769&gt;=89,I769&lt;=92),"D-90",
AND(I769&gt;=58,I769&lt;=62),"D-60",
AND(I769&gt;=28,I769&lt;=32),"D-30",
AND(I769=0),"당월",
TRUE,"그외")</f>
        <v>당월</v>
      </c>
    </row>
    <row r="770" spans="1:10" ht="17.649999999999999" customHeight="1" x14ac:dyDescent="0.3">
      <c r="A770" s="4">
        <v>45992</v>
      </c>
      <c r="B770" s="5" t="s">
        <v>11</v>
      </c>
      <c r="C770" s="4">
        <v>45992</v>
      </c>
      <c r="D770" s="5" t="s">
        <v>10</v>
      </c>
      <c r="E770" s="6">
        <v>409</v>
      </c>
      <c r="F770" s="6">
        <v>251742.12469437651</v>
      </c>
      <c r="G770" s="6">
        <v>102962529</v>
      </c>
      <c r="H770" s="6">
        <v>12572160</v>
      </c>
      <c r="I770" s="6">
        <f t="shared" si="11"/>
        <v>0</v>
      </c>
      <c r="J770" t="str" cm="1">
        <f t="array" ref="J770">_xlfn.IFS(
AND(I770&gt;=89,I770&lt;=92),"D-90",
AND(I770&gt;=58,I770&lt;=62),"D-60",
AND(I770&gt;=28,I770&lt;=32),"D-30",
AND(I770=0),"당월",
TRUE,"그외")</f>
        <v>당월</v>
      </c>
    </row>
    <row r="771" spans="1:10" ht="17.649999999999999" customHeight="1" x14ac:dyDescent="0.3">
      <c r="A771" s="4">
        <v>45992</v>
      </c>
      <c r="B771" s="5" t="s">
        <v>12</v>
      </c>
      <c r="C771" s="4">
        <v>45839</v>
      </c>
      <c r="D771" s="5" t="s">
        <v>10</v>
      </c>
      <c r="E771" s="6">
        <v>20</v>
      </c>
      <c r="F771" s="6">
        <v>350909.05</v>
      </c>
      <c r="G771" s="6">
        <v>7018181</v>
      </c>
      <c r="H771" s="6">
        <v>454737</v>
      </c>
      <c r="I771" s="6">
        <f t="shared" ref="I771:I834" si="12">A771-C771</f>
        <v>153</v>
      </c>
      <c r="J771" t="str" cm="1">
        <f t="array" ref="J771">_xlfn.IFS(
AND(I771&gt;=89,I771&lt;=92),"D-90",
AND(I771&gt;=58,I771&lt;=62),"D-60",
AND(I771&gt;=28,I771&lt;=32),"D-30",
AND(I771=0),"당월",
TRUE,"그외")</f>
        <v>그외</v>
      </c>
    </row>
    <row r="772" spans="1:10" ht="17.649999999999999" customHeight="1" x14ac:dyDescent="0.3">
      <c r="A772" s="4">
        <v>45992</v>
      </c>
      <c r="B772" s="5" t="s">
        <v>12</v>
      </c>
      <c r="C772" s="4">
        <v>45870</v>
      </c>
      <c r="D772" s="5" t="s">
        <v>9</v>
      </c>
      <c r="E772" s="6">
        <v>9</v>
      </c>
      <c r="F772" s="6">
        <v>186000</v>
      </c>
      <c r="G772" s="6">
        <v>1674000</v>
      </c>
      <c r="H772" s="6">
        <v>234000</v>
      </c>
      <c r="I772" s="6">
        <f t="shared" si="12"/>
        <v>122</v>
      </c>
      <c r="J772" t="str" cm="1">
        <f t="array" ref="J772">_xlfn.IFS(
AND(I772&gt;=89,I772&lt;=92),"D-90",
AND(I772&gt;=58,I772&lt;=62),"D-60",
AND(I772&gt;=28,I772&lt;=32),"D-30",
AND(I772=0),"당월",
TRUE,"그외")</f>
        <v>그외</v>
      </c>
    </row>
    <row r="773" spans="1:10" ht="17.649999999999999" customHeight="1" x14ac:dyDescent="0.3">
      <c r="A773" s="4">
        <v>45992</v>
      </c>
      <c r="B773" s="5" t="s">
        <v>12</v>
      </c>
      <c r="C773" s="4">
        <v>45870</v>
      </c>
      <c r="D773" s="5" t="s">
        <v>10</v>
      </c>
      <c r="E773" s="6">
        <v>161</v>
      </c>
      <c r="F773" s="6">
        <v>214800</v>
      </c>
      <c r="G773" s="6">
        <v>34582800</v>
      </c>
      <c r="H773" s="6">
        <v>4186000</v>
      </c>
      <c r="I773" s="6">
        <f t="shared" si="12"/>
        <v>122</v>
      </c>
      <c r="J773" t="str" cm="1">
        <f t="array" ref="J773">_xlfn.IFS(
AND(I773&gt;=89,I773&lt;=92),"D-90",
AND(I773&gt;=58,I773&lt;=62),"D-60",
AND(I773&gt;=28,I773&lt;=32),"D-30",
AND(I773=0),"당월",
TRUE,"그외")</f>
        <v>그외</v>
      </c>
    </row>
    <row r="774" spans="1:10" ht="17.649999999999999" customHeight="1" x14ac:dyDescent="0.3">
      <c r="A774" s="4">
        <v>45992</v>
      </c>
      <c r="B774" s="5" t="s">
        <v>12</v>
      </c>
      <c r="C774" s="4">
        <v>45901</v>
      </c>
      <c r="D774" s="5" t="s">
        <v>9</v>
      </c>
      <c r="E774" s="6">
        <v>180</v>
      </c>
      <c r="F774" s="6">
        <v>184544.44444444441</v>
      </c>
      <c r="G774" s="6">
        <v>33218000</v>
      </c>
      <c r="H774" s="6">
        <v>4734000</v>
      </c>
      <c r="I774" s="6">
        <f t="shared" si="12"/>
        <v>91</v>
      </c>
      <c r="J774" t="str" cm="1">
        <f t="array" ref="J774">_xlfn.IFS(
AND(I774&gt;=89,I774&lt;=92),"D-90",
AND(I774&gt;=58,I774&lt;=62),"D-60",
AND(I774&gt;=28,I774&lt;=32),"D-30",
AND(I774=0),"당월",
TRUE,"그외")</f>
        <v>D-90</v>
      </c>
    </row>
    <row r="775" spans="1:10" ht="17.649999999999999" customHeight="1" x14ac:dyDescent="0.3">
      <c r="A775" s="4">
        <v>45992</v>
      </c>
      <c r="B775" s="5" t="s">
        <v>12</v>
      </c>
      <c r="C775" s="4">
        <v>45901</v>
      </c>
      <c r="D775" s="5" t="s">
        <v>10</v>
      </c>
      <c r="E775" s="6">
        <v>934</v>
      </c>
      <c r="F775" s="6">
        <v>178069.36295503209</v>
      </c>
      <c r="G775" s="6">
        <v>166316785</v>
      </c>
      <c r="H775" s="6">
        <v>24593353</v>
      </c>
      <c r="I775" s="6">
        <f t="shared" si="12"/>
        <v>91</v>
      </c>
      <c r="J775" t="str" cm="1">
        <f t="array" ref="J775">_xlfn.IFS(
AND(I775&gt;=89,I775&lt;=92),"D-90",
AND(I775&gt;=58,I775&lt;=62),"D-60",
AND(I775&gt;=28,I775&lt;=32),"D-30",
AND(I775=0),"당월",
TRUE,"그외")</f>
        <v>D-90</v>
      </c>
    </row>
    <row r="776" spans="1:10" ht="17.649999999999999" customHeight="1" x14ac:dyDescent="0.3">
      <c r="A776" s="4">
        <v>45992</v>
      </c>
      <c r="B776" s="5" t="s">
        <v>12</v>
      </c>
      <c r="C776" s="4">
        <v>45931</v>
      </c>
      <c r="D776" s="5" t="s">
        <v>9</v>
      </c>
      <c r="E776" s="6">
        <v>86</v>
      </c>
      <c r="F776" s="6">
        <v>163516.27906976739</v>
      </c>
      <c r="G776" s="6">
        <v>14062400</v>
      </c>
      <c r="H776" s="6">
        <v>2270400</v>
      </c>
      <c r="I776" s="6">
        <f t="shared" si="12"/>
        <v>61</v>
      </c>
      <c r="J776" t="str" cm="1">
        <f t="array" ref="J776">_xlfn.IFS(
AND(I776&gt;=89,I776&lt;=92),"D-90",
AND(I776&gt;=58,I776&lt;=62),"D-60",
AND(I776&gt;=28,I776&lt;=32),"D-30",
AND(I776=0),"당월",
TRUE,"그외")</f>
        <v>D-60</v>
      </c>
    </row>
    <row r="777" spans="1:10" ht="17.649999999999999" customHeight="1" x14ac:dyDescent="0.3">
      <c r="A777" s="4">
        <v>45992</v>
      </c>
      <c r="B777" s="5" t="s">
        <v>12</v>
      </c>
      <c r="C777" s="4">
        <v>45931</v>
      </c>
      <c r="D777" s="5" t="s">
        <v>10</v>
      </c>
      <c r="E777" s="6">
        <v>1930</v>
      </c>
      <c r="F777" s="6">
        <v>168568.69585492229</v>
      </c>
      <c r="G777" s="6">
        <v>325337583</v>
      </c>
      <c r="H777" s="6">
        <v>51567497</v>
      </c>
      <c r="I777" s="6">
        <f t="shared" si="12"/>
        <v>61</v>
      </c>
      <c r="J777" t="str" cm="1">
        <f t="array" ref="J777">_xlfn.IFS(
AND(I777&gt;=89,I777&lt;=92),"D-90",
AND(I777&gt;=58,I777&lt;=62),"D-60",
AND(I777&gt;=28,I777&lt;=32),"D-30",
AND(I777=0),"당월",
TRUE,"그외")</f>
        <v>D-60</v>
      </c>
    </row>
    <row r="778" spans="1:10" ht="17.649999999999999" customHeight="1" x14ac:dyDescent="0.3">
      <c r="A778" s="4">
        <v>45992</v>
      </c>
      <c r="B778" s="5" t="s">
        <v>12</v>
      </c>
      <c r="C778" s="4">
        <v>45962</v>
      </c>
      <c r="D778" s="5" t="s">
        <v>9</v>
      </c>
      <c r="E778" s="6">
        <v>2652</v>
      </c>
      <c r="F778" s="6">
        <v>141357.73001508301</v>
      </c>
      <c r="G778" s="6">
        <v>374880700</v>
      </c>
      <c r="H778" s="6">
        <v>70776700</v>
      </c>
      <c r="I778" s="6">
        <f t="shared" si="12"/>
        <v>30</v>
      </c>
      <c r="J778" t="str" cm="1">
        <f t="array" ref="J778">_xlfn.IFS(
AND(I778&gt;=89,I778&lt;=92),"D-90",
AND(I778&gt;=58,I778&lt;=62),"D-60",
AND(I778&gt;=28,I778&lt;=32),"D-30",
AND(I778=0),"당월",
TRUE,"그외")</f>
        <v>D-30</v>
      </c>
    </row>
    <row r="779" spans="1:10" ht="17.649999999999999" customHeight="1" x14ac:dyDescent="0.3">
      <c r="A779" s="4">
        <v>45992</v>
      </c>
      <c r="B779" s="5" t="s">
        <v>12</v>
      </c>
      <c r="C779" s="4">
        <v>45962</v>
      </c>
      <c r="D779" s="5" t="s">
        <v>10</v>
      </c>
      <c r="E779" s="6">
        <v>1805</v>
      </c>
      <c r="F779" s="6">
        <v>170973.17506925209</v>
      </c>
      <c r="G779" s="6">
        <v>308606581</v>
      </c>
      <c r="H779" s="6">
        <v>49661887</v>
      </c>
      <c r="I779" s="6">
        <f t="shared" si="12"/>
        <v>30</v>
      </c>
      <c r="J779" t="str" cm="1">
        <f t="array" ref="J779">_xlfn.IFS(
AND(I779&gt;=89,I779&lt;=92),"D-90",
AND(I779&gt;=58,I779&lt;=62),"D-60",
AND(I779&gt;=28,I779&lt;=32),"D-30",
AND(I779=0),"당월",
TRUE,"그외")</f>
        <v>D-30</v>
      </c>
    </row>
    <row r="780" spans="1:10" ht="17.649999999999999" customHeight="1" x14ac:dyDescent="0.3">
      <c r="A780" s="4">
        <v>45992</v>
      </c>
      <c r="B780" s="5" t="s">
        <v>12</v>
      </c>
      <c r="C780" s="4">
        <v>45992</v>
      </c>
      <c r="D780" s="5" t="s">
        <v>9</v>
      </c>
      <c r="E780" s="6">
        <v>1356</v>
      </c>
      <c r="F780" s="6">
        <v>177932.44837758111</v>
      </c>
      <c r="G780" s="6">
        <v>241276400</v>
      </c>
      <c r="H780" s="6">
        <v>42622400</v>
      </c>
      <c r="I780" s="6">
        <f t="shared" si="12"/>
        <v>0</v>
      </c>
      <c r="J780" t="str" cm="1">
        <f t="array" ref="J780">_xlfn.IFS(
AND(I780&gt;=89,I780&lt;=92),"D-90",
AND(I780&gt;=58,I780&lt;=62),"D-60",
AND(I780&gt;=28,I780&lt;=32),"D-30",
AND(I780=0),"당월",
TRUE,"그외")</f>
        <v>당월</v>
      </c>
    </row>
    <row r="781" spans="1:10" ht="17.649999999999999" customHeight="1" x14ac:dyDescent="0.3">
      <c r="A781" s="4">
        <v>45992</v>
      </c>
      <c r="B781" s="5" t="s">
        <v>12</v>
      </c>
      <c r="C781" s="4">
        <v>45992</v>
      </c>
      <c r="D781" s="5" t="s">
        <v>10</v>
      </c>
      <c r="E781" s="6">
        <v>1073</v>
      </c>
      <c r="F781" s="6">
        <v>197873.8863000932</v>
      </c>
      <c r="G781" s="6">
        <v>212318680</v>
      </c>
      <c r="H781" s="6">
        <v>33754263</v>
      </c>
      <c r="I781" s="6">
        <f t="shared" si="12"/>
        <v>0</v>
      </c>
      <c r="J781" t="str" cm="1">
        <f t="array" ref="J781">_xlfn.IFS(
AND(I781&gt;=89,I781&lt;=92),"D-90",
AND(I781&gt;=58,I781&lt;=62),"D-60",
AND(I781&gt;=28,I781&lt;=32),"D-30",
AND(I781=0),"당월",
TRUE,"그외")</f>
        <v>당월</v>
      </c>
    </row>
    <row r="782" spans="1:10" ht="17.649999999999999" customHeight="1" x14ac:dyDescent="0.3">
      <c r="A782" s="4">
        <v>45992</v>
      </c>
      <c r="B782" s="5" t="s">
        <v>13</v>
      </c>
      <c r="C782" s="4">
        <v>45839</v>
      </c>
      <c r="D782" s="5" t="s">
        <v>10</v>
      </c>
      <c r="E782" s="6">
        <v>59</v>
      </c>
      <c r="F782" s="6">
        <v>201584.74576271189</v>
      </c>
      <c r="G782" s="6">
        <v>11893500</v>
      </c>
      <c r="H782" s="6">
        <v>973500</v>
      </c>
      <c r="I782" s="6">
        <f t="shared" si="12"/>
        <v>153</v>
      </c>
      <c r="J782" t="str" cm="1">
        <f t="array" ref="J782">_xlfn.IFS(
AND(I782&gt;=89,I782&lt;=92),"D-90",
AND(I782&gt;=58,I782&lt;=62),"D-60",
AND(I782&gt;=28,I782&lt;=32),"D-30",
AND(I782=0),"당월",
TRUE,"그외")</f>
        <v>그외</v>
      </c>
    </row>
    <row r="783" spans="1:10" ht="17.649999999999999" customHeight="1" x14ac:dyDescent="0.3">
      <c r="A783" s="4">
        <v>45992</v>
      </c>
      <c r="B783" s="5" t="s">
        <v>13</v>
      </c>
      <c r="C783" s="4">
        <v>45870</v>
      </c>
      <c r="D783" s="5" t="s">
        <v>9</v>
      </c>
      <c r="E783" s="6">
        <v>4</v>
      </c>
      <c r="F783" s="6">
        <v>166000</v>
      </c>
      <c r="G783" s="6">
        <v>664000</v>
      </c>
      <c r="H783" s="6">
        <v>104000</v>
      </c>
      <c r="I783" s="6">
        <f t="shared" si="12"/>
        <v>122</v>
      </c>
      <c r="J783" t="str" cm="1">
        <f t="array" ref="J783">_xlfn.IFS(
AND(I783&gt;=89,I783&lt;=92),"D-90",
AND(I783&gt;=58,I783&lt;=62),"D-60",
AND(I783&gt;=28,I783&lt;=32),"D-30",
AND(I783=0),"당월",
TRUE,"그외")</f>
        <v>그외</v>
      </c>
    </row>
    <row r="784" spans="1:10" ht="17.649999999999999" customHeight="1" x14ac:dyDescent="0.3">
      <c r="A784" s="4">
        <v>45992</v>
      </c>
      <c r="B784" s="5" t="s">
        <v>13</v>
      </c>
      <c r="C784" s="4">
        <v>45870</v>
      </c>
      <c r="D784" s="5" t="s">
        <v>10</v>
      </c>
      <c r="E784" s="6">
        <v>251</v>
      </c>
      <c r="F784" s="6">
        <v>192693.22709163351</v>
      </c>
      <c r="G784" s="6">
        <v>48366000</v>
      </c>
      <c r="H784" s="6">
        <v>6526000</v>
      </c>
      <c r="I784" s="6">
        <f t="shared" si="12"/>
        <v>122</v>
      </c>
      <c r="J784" t="str" cm="1">
        <f t="array" ref="J784">_xlfn.IFS(
AND(I784&gt;=89,I784&lt;=92),"D-90",
AND(I784&gt;=58,I784&lt;=62),"D-60",
AND(I784&gt;=28,I784&lt;=32),"D-30",
AND(I784=0),"당월",
TRUE,"그외")</f>
        <v>그외</v>
      </c>
    </row>
    <row r="785" spans="1:10" ht="17.649999999999999" customHeight="1" x14ac:dyDescent="0.3">
      <c r="A785" s="4">
        <v>45992</v>
      </c>
      <c r="B785" s="5" t="s">
        <v>13</v>
      </c>
      <c r="C785" s="4">
        <v>45901</v>
      </c>
      <c r="D785" s="5" t="s">
        <v>9</v>
      </c>
      <c r="E785" s="6">
        <v>496</v>
      </c>
      <c r="F785" s="6">
        <v>149531.8548387097</v>
      </c>
      <c r="G785" s="6">
        <v>74167800</v>
      </c>
      <c r="H785" s="6">
        <v>13044800</v>
      </c>
      <c r="I785" s="6">
        <f t="shared" si="12"/>
        <v>91</v>
      </c>
      <c r="J785" t="str" cm="1">
        <f t="array" ref="J785">_xlfn.IFS(
AND(I785&gt;=89,I785&lt;=92),"D-90",
AND(I785&gt;=58,I785&lt;=62),"D-60",
AND(I785&gt;=28,I785&lt;=32),"D-30",
AND(I785=0),"당월",
TRUE,"그외")</f>
        <v>D-90</v>
      </c>
    </row>
    <row r="786" spans="1:10" ht="17.649999999999999" customHeight="1" x14ac:dyDescent="0.3">
      <c r="A786" s="4">
        <v>45992</v>
      </c>
      <c r="B786" s="5" t="s">
        <v>13</v>
      </c>
      <c r="C786" s="4">
        <v>45901</v>
      </c>
      <c r="D786" s="5" t="s">
        <v>10</v>
      </c>
      <c r="E786" s="6">
        <v>1186</v>
      </c>
      <c r="F786" s="6">
        <v>195938.11214165259</v>
      </c>
      <c r="G786" s="6">
        <v>232382601</v>
      </c>
      <c r="H786" s="6">
        <v>31811796</v>
      </c>
      <c r="I786" s="6">
        <f t="shared" si="12"/>
        <v>91</v>
      </c>
      <c r="J786" t="str" cm="1">
        <f t="array" ref="J786">_xlfn.IFS(
AND(I786&gt;=89,I786&lt;=92),"D-90",
AND(I786&gt;=58,I786&lt;=62),"D-60",
AND(I786&gt;=28,I786&lt;=32),"D-30",
AND(I786=0),"당월",
TRUE,"그외")</f>
        <v>D-90</v>
      </c>
    </row>
    <row r="787" spans="1:10" ht="17.649999999999999" customHeight="1" x14ac:dyDescent="0.3">
      <c r="A787" s="4">
        <v>45992</v>
      </c>
      <c r="B787" s="5" t="s">
        <v>13</v>
      </c>
      <c r="C787" s="4">
        <v>45931</v>
      </c>
      <c r="D787" s="5" t="s">
        <v>9</v>
      </c>
      <c r="E787" s="6">
        <v>365</v>
      </c>
      <c r="F787" s="6">
        <v>162556.16438356161</v>
      </c>
      <c r="G787" s="6">
        <v>59333000</v>
      </c>
      <c r="H787" s="6">
        <v>9636000</v>
      </c>
      <c r="I787" s="6">
        <f t="shared" si="12"/>
        <v>61</v>
      </c>
      <c r="J787" t="str" cm="1">
        <f t="array" ref="J787">_xlfn.IFS(
AND(I787&gt;=89,I787&lt;=92),"D-90",
AND(I787&gt;=58,I787&lt;=62),"D-60",
AND(I787&gt;=28,I787&lt;=32),"D-30",
AND(I787=0),"당월",
TRUE,"그외")</f>
        <v>D-60</v>
      </c>
    </row>
    <row r="788" spans="1:10" ht="17.649999999999999" customHeight="1" x14ac:dyDescent="0.3">
      <c r="A788" s="4">
        <v>45992</v>
      </c>
      <c r="B788" s="5" t="s">
        <v>13</v>
      </c>
      <c r="C788" s="4">
        <v>45931</v>
      </c>
      <c r="D788" s="5" t="s">
        <v>10</v>
      </c>
      <c r="E788" s="6">
        <v>1422</v>
      </c>
      <c r="F788" s="6">
        <v>184363.60478199719</v>
      </c>
      <c r="G788" s="6">
        <v>262165046</v>
      </c>
      <c r="H788" s="6">
        <v>37707691</v>
      </c>
      <c r="I788" s="6">
        <f t="shared" si="12"/>
        <v>61</v>
      </c>
      <c r="J788" t="str" cm="1">
        <f t="array" ref="J788">_xlfn.IFS(
AND(I788&gt;=89,I788&lt;=92),"D-90",
AND(I788&gt;=58,I788&lt;=62),"D-60",
AND(I788&gt;=28,I788&lt;=32),"D-30",
AND(I788=0),"당월",
TRUE,"그외")</f>
        <v>D-60</v>
      </c>
    </row>
    <row r="789" spans="1:10" ht="17.649999999999999" customHeight="1" x14ac:dyDescent="0.3">
      <c r="A789" s="4">
        <v>45992</v>
      </c>
      <c r="B789" s="5" t="s">
        <v>13</v>
      </c>
      <c r="C789" s="4">
        <v>45962</v>
      </c>
      <c r="D789" s="5" t="s">
        <v>9</v>
      </c>
      <c r="E789" s="6">
        <v>1724</v>
      </c>
      <c r="F789" s="6">
        <v>147001.9721577726</v>
      </c>
      <c r="G789" s="6">
        <v>253431400</v>
      </c>
      <c r="H789" s="6">
        <v>46028400</v>
      </c>
      <c r="I789" s="6">
        <f t="shared" si="12"/>
        <v>30</v>
      </c>
      <c r="J789" t="str" cm="1">
        <f t="array" ref="J789">_xlfn.IFS(
AND(I789&gt;=89,I789&lt;=92),"D-90",
AND(I789&gt;=58,I789&lt;=62),"D-60",
AND(I789&gt;=28,I789&lt;=32),"D-30",
AND(I789=0),"당월",
TRUE,"그외")</f>
        <v>D-30</v>
      </c>
    </row>
    <row r="790" spans="1:10" ht="17.649999999999999" customHeight="1" x14ac:dyDescent="0.3">
      <c r="A790" s="4">
        <v>45992</v>
      </c>
      <c r="B790" s="5" t="s">
        <v>13</v>
      </c>
      <c r="C790" s="4">
        <v>45962</v>
      </c>
      <c r="D790" s="5" t="s">
        <v>10</v>
      </c>
      <c r="E790" s="6">
        <v>2449</v>
      </c>
      <c r="F790" s="6">
        <v>148352.08248264599</v>
      </c>
      <c r="G790" s="6">
        <v>363314250</v>
      </c>
      <c r="H790" s="6">
        <v>67928420</v>
      </c>
      <c r="I790" s="6">
        <f t="shared" si="12"/>
        <v>30</v>
      </c>
      <c r="J790" t="str" cm="1">
        <f t="array" ref="J790">_xlfn.IFS(
AND(I790&gt;=89,I790&lt;=92),"D-90",
AND(I790&gt;=58,I790&lt;=62),"D-60",
AND(I790&gt;=28,I790&lt;=32),"D-30",
AND(I790=0),"당월",
TRUE,"그외")</f>
        <v>D-30</v>
      </c>
    </row>
    <row r="791" spans="1:10" ht="17.649999999999999" customHeight="1" x14ac:dyDescent="0.3">
      <c r="A791" s="4">
        <v>45992</v>
      </c>
      <c r="B791" s="5" t="s">
        <v>13</v>
      </c>
      <c r="C791" s="4">
        <v>45992</v>
      </c>
      <c r="D791" s="5" t="s">
        <v>9</v>
      </c>
      <c r="E791" s="6">
        <v>838</v>
      </c>
      <c r="F791" s="6">
        <v>190355.1312649165</v>
      </c>
      <c r="G791" s="6">
        <v>159517600</v>
      </c>
      <c r="H791" s="6">
        <v>26544600</v>
      </c>
      <c r="I791" s="6">
        <f t="shared" si="12"/>
        <v>0</v>
      </c>
      <c r="J791" t="str" cm="1">
        <f t="array" ref="J791">_xlfn.IFS(
AND(I791&gt;=89,I791&lt;=92),"D-90",
AND(I791&gt;=58,I791&lt;=62),"D-60",
AND(I791&gt;=28,I791&lt;=32),"D-30",
AND(I791=0),"당월",
TRUE,"그외")</f>
        <v>당월</v>
      </c>
    </row>
    <row r="792" spans="1:10" ht="17.649999999999999" customHeight="1" x14ac:dyDescent="0.3">
      <c r="A792" s="4">
        <v>45992</v>
      </c>
      <c r="B792" s="5" t="s">
        <v>13</v>
      </c>
      <c r="C792" s="4">
        <v>45992</v>
      </c>
      <c r="D792" s="5" t="s">
        <v>10</v>
      </c>
      <c r="E792" s="6">
        <v>1391</v>
      </c>
      <c r="F792" s="6">
        <v>162157.1581595974</v>
      </c>
      <c r="G792" s="6">
        <v>225560607</v>
      </c>
      <c r="H792" s="6">
        <v>45945612</v>
      </c>
      <c r="I792" s="6">
        <f t="shared" si="12"/>
        <v>0</v>
      </c>
      <c r="J792" t="str" cm="1">
        <f t="array" ref="J792">_xlfn.IFS(
AND(I792&gt;=89,I792&lt;=92),"D-90",
AND(I792&gt;=58,I792&lt;=62),"D-60",
AND(I792&gt;=28,I792&lt;=32),"D-30",
AND(I792=0),"당월",
TRUE,"그외")</f>
        <v>당월</v>
      </c>
    </row>
    <row r="793" spans="1:10" ht="17.649999999999999" customHeight="1" x14ac:dyDescent="0.3">
      <c r="A793" s="4">
        <v>46023</v>
      </c>
      <c r="B793" s="5" t="s">
        <v>8</v>
      </c>
      <c r="C793" s="4">
        <v>45839</v>
      </c>
      <c r="D793" s="5" t="s">
        <v>10</v>
      </c>
      <c r="E793" s="6">
        <v>168</v>
      </c>
      <c r="F793" s="6">
        <v>253871.03571428571</v>
      </c>
      <c r="G793" s="6">
        <v>42650334</v>
      </c>
      <c r="H793" s="6">
        <v>2871597</v>
      </c>
      <c r="I793" s="6">
        <f t="shared" si="12"/>
        <v>184</v>
      </c>
      <c r="J793" t="str" cm="1">
        <f t="array" ref="J793">_xlfn.IFS(
AND(I793&gt;=89,I793&lt;=92),"D-90",
AND(I793&gt;=58,I793&lt;=62),"D-60",
AND(I793&gt;=28,I793&lt;=32),"D-30",
AND(I793=0),"당월",
TRUE,"그외")</f>
        <v>그외</v>
      </c>
    </row>
    <row r="794" spans="1:10" ht="17.649999999999999" customHeight="1" x14ac:dyDescent="0.3">
      <c r="A794" s="4">
        <v>46023</v>
      </c>
      <c r="B794" s="5" t="s">
        <v>8</v>
      </c>
      <c r="C794" s="4">
        <v>45870</v>
      </c>
      <c r="D794" s="5" t="s">
        <v>10</v>
      </c>
      <c r="E794" s="6">
        <v>225</v>
      </c>
      <c r="F794" s="6">
        <v>266374.06666666671</v>
      </c>
      <c r="G794" s="6">
        <v>59934165</v>
      </c>
      <c r="H794" s="6">
        <v>5936906</v>
      </c>
      <c r="I794" s="6">
        <f t="shared" si="12"/>
        <v>153</v>
      </c>
      <c r="J794" t="str" cm="1">
        <f t="array" ref="J794">_xlfn.IFS(
AND(I794&gt;=89,I794&lt;=92),"D-90",
AND(I794&gt;=58,I794&lt;=62),"D-60",
AND(I794&gt;=28,I794&lt;=32),"D-30",
AND(I794=0),"당월",
TRUE,"그외")</f>
        <v>그외</v>
      </c>
    </row>
    <row r="795" spans="1:10" ht="17.649999999999999" customHeight="1" x14ac:dyDescent="0.3">
      <c r="A795" s="4">
        <v>46023</v>
      </c>
      <c r="B795" s="5" t="s">
        <v>8</v>
      </c>
      <c r="C795" s="4">
        <v>45901</v>
      </c>
      <c r="D795" s="5" t="s">
        <v>10</v>
      </c>
      <c r="E795" s="6">
        <v>2034</v>
      </c>
      <c r="F795" s="6">
        <v>255412.9508357915</v>
      </c>
      <c r="G795" s="6">
        <v>519509942</v>
      </c>
      <c r="H795" s="6">
        <v>53751826</v>
      </c>
      <c r="I795" s="6">
        <f t="shared" si="12"/>
        <v>122</v>
      </c>
      <c r="J795" t="str" cm="1">
        <f t="array" ref="J795">_xlfn.IFS(
AND(I795&gt;=89,I795&lt;=92),"D-90",
AND(I795&gt;=58,I795&lt;=62),"D-60",
AND(I795&gt;=28,I795&lt;=32),"D-30",
AND(I795=0),"당월",
TRUE,"그외")</f>
        <v>그외</v>
      </c>
    </row>
    <row r="796" spans="1:10" ht="17.649999999999999" customHeight="1" x14ac:dyDescent="0.3">
      <c r="A796" s="4">
        <v>46023</v>
      </c>
      <c r="B796" s="5" t="s">
        <v>8</v>
      </c>
      <c r="C796" s="4">
        <v>45931</v>
      </c>
      <c r="D796" s="5" t="s">
        <v>10</v>
      </c>
      <c r="E796" s="6">
        <v>3964</v>
      </c>
      <c r="F796" s="6">
        <v>245035.45080726541</v>
      </c>
      <c r="G796" s="6">
        <v>971320527</v>
      </c>
      <c r="H796" s="6">
        <v>104409944</v>
      </c>
      <c r="I796" s="6">
        <f t="shared" si="12"/>
        <v>92</v>
      </c>
      <c r="J796" t="str" cm="1">
        <f t="array" ref="J796">_xlfn.IFS(
AND(I796&gt;=89,I796&lt;=92),"D-90",
AND(I796&gt;=58,I796&lt;=62),"D-60",
AND(I796&gt;=28,I796&lt;=32),"D-30",
AND(I796=0),"당월",
TRUE,"그외")</f>
        <v>D-90</v>
      </c>
    </row>
    <row r="797" spans="1:10" ht="17.649999999999999" customHeight="1" x14ac:dyDescent="0.3">
      <c r="A797" s="4">
        <v>46023</v>
      </c>
      <c r="B797" s="5" t="s">
        <v>8</v>
      </c>
      <c r="C797" s="4">
        <v>45962</v>
      </c>
      <c r="D797" s="5" t="s">
        <v>9</v>
      </c>
      <c r="E797" s="6">
        <v>1166</v>
      </c>
      <c r="F797" s="6">
        <v>281538.25042881648</v>
      </c>
      <c r="G797" s="6">
        <v>328273600</v>
      </c>
      <c r="H797" s="6">
        <v>30918600</v>
      </c>
      <c r="I797" s="6">
        <f t="shared" si="12"/>
        <v>61</v>
      </c>
      <c r="J797" t="str" cm="1">
        <f t="array" ref="J797">_xlfn.IFS(
AND(I797&gt;=89,I797&lt;=92),"D-90",
AND(I797&gt;=58,I797&lt;=62),"D-60",
AND(I797&gt;=28,I797&lt;=32),"D-30",
AND(I797=0),"당월",
TRUE,"그외")</f>
        <v>D-60</v>
      </c>
    </row>
    <row r="798" spans="1:10" ht="17.649999999999999" customHeight="1" x14ac:dyDescent="0.3">
      <c r="A798" s="4">
        <v>46023</v>
      </c>
      <c r="B798" s="5" t="s">
        <v>8</v>
      </c>
      <c r="C798" s="4">
        <v>45962</v>
      </c>
      <c r="D798" s="5" t="s">
        <v>10</v>
      </c>
      <c r="E798" s="6">
        <v>2837</v>
      </c>
      <c r="F798" s="6">
        <v>251497.02432146631</v>
      </c>
      <c r="G798" s="6">
        <v>713497058</v>
      </c>
      <c r="H798" s="6">
        <v>75809495</v>
      </c>
      <c r="I798" s="6">
        <f t="shared" si="12"/>
        <v>61</v>
      </c>
      <c r="J798" t="str" cm="1">
        <f t="array" ref="J798">_xlfn.IFS(
AND(I798&gt;=89,I798&lt;=92),"D-90",
AND(I798&gt;=58,I798&lt;=62),"D-60",
AND(I798&gt;=28,I798&lt;=32),"D-30",
AND(I798=0),"당월",
TRUE,"그외")</f>
        <v>D-60</v>
      </c>
    </row>
    <row r="799" spans="1:10" ht="17.649999999999999" customHeight="1" x14ac:dyDescent="0.3">
      <c r="A799" s="4">
        <v>46023</v>
      </c>
      <c r="B799" s="5" t="s">
        <v>8</v>
      </c>
      <c r="C799" s="4">
        <v>45992</v>
      </c>
      <c r="D799" s="5" t="s">
        <v>9</v>
      </c>
      <c r="E799" s="6">
        <v>1462</v>
      </c>
      <c r="F799" s="6">
        <v>528615.73187414499</v>
      </c>
      <c r="G799" s="6">
        <v>772836200</v>
      </c>
      <c r="H799" s="6">
        <v>42668200</v>
      </c>
      <c r="I799" s="6">
        <f t="shared" si="12"/>
        <v>31</v>
      </c>
      <c r="J799" t="str" cm="1">
        <f t="array" ref="J799">_xlfn.IFS(
AND(I799&gt;=89,I799&lt;=92),"D-90",
AND(I799&gt;=58,I799&lt;=62),"D-60",
AND(I799&gt;=28,I799&lt;=32),"D-30",
AND(I799=0),"당월",
TRUE,"그외")</f>
        <v>D-30</v>
      </c>
    </row>
    <row r="800" spans="1:10" ht="17.649999999999999" customHeight="1" x14ac:dyDescent="0.3">
      <c r="A800" s="4">
        <v>46023</v>
      </c>
      <c r="B800" s="5" t="s">
        <v>8</v>
      </c>
      <c r="C800" s="4">
        <v>45992</v>
      </c>
      <c r="D800" s="5" t="s">
        <v>10</v>
      </c>
      <c r="E800" s="6">
        <v>3915</v>
      </c>
      <c r="F800" s="6">
        <v>231599.15351213279</v>
      </c>
      <c r="G800" s="6">
        <v>906710686</v>
      </c>
      <c r="H800" s="6">
        <v>120898188</v>
      </c>
      <c r="I800" s="6">
        <f t="shared" si="12"/>
        <v>31</v>
      </c>
      <c r="J800" t="str" cm="1">
        <f t="array" ref="J800">_xlfn.IFS(
AND(I800&gt;=89,I800&lt;=92),"D-90",
AND(I800&gt;=58,I800&lt;=62),"D-60",
AND(I800&gt;=28,I800&lt;=32),"D-30",
AND(I800=0),"당월",
TRUE,"그외")</f>
        <v>D-30</v>
      </c>
    </row>
    <row r="801" spans="1:10" ht="17.649999999999999" customHeight="1" x14ac:dyDescent="0.3">
      <c r="A801" s="4">
        <v>46023</v>
      </c>
      <c r="B801" s="5" t="s">
        <v>8</v>
      </c>
      <c r="C801" s="4">
        <v>46023</v>
      </c>
      <c r="D801" s="5" t="s">
        <v>9</v>
      </c>
      <c r="E801" s="6">
        <v>2582</v>
      </c>
      <c r="F801" s="6">
        <v>45241.053446940357</v>
      </c>
      <c r="G801" s="6">
        <v>116812400</v>
      </c>
      <c r="H801" s="6">
        <v>83397400</v>
      </c>
      <c r="I801" s="6">
        <f t="shared" si="12"/>
        <v>0</v>
      </c>
      <c r="J801" t="str" cm="1">
        <f t="array" ref="J801">_xlfn.IFS(
AND(I801&gt;=89,I801&lt;=92),"D-90",
AND(I801&gt;=58,I801&lt;=62),"D-60",
AND(I801&gt;=28,I801&lt;=32),"D-30",
AND(I801=0),"당월",
TRUE,"그외")</f>
        <v>당월</v>
      </c>
    </row>
    <row r="802" spans="1:10" ht="17.649999999999999" customHeight="1" x14ac:dyDescent="0.3">
      <c r="A802" s="4">
        <v>46023</v>
      </c>
      <c r="B802" s="5" t="s">
        <v>8</v>
      </c>
      <c r="C802" s="4">
        <v>46023</v>
      </c>
      <c r="D802" s="5" t="s">
        <v>10</v>
      </c>
      <c r="E802" s="6">
        <v>1376</v>
      </c>
      <c r="F802" s="6">
        <v>283608.32848837209</v>
      </c>
      <c r="G802" s="6">
        <v>390245060</v>
      </c>
      <c r="H802" s="6">
        <v>42828328</v>
      </c>
      <c r="I802" s="6">
        <f t="shared" si="12"/>
        <v>0</v>
      </c>
      <c r="J802" t="str" cm="1">
        <f t="array" ref="J802">_xlfn.IFS(
AND(I802&gt;=89,I802&lt;=92),"D-90",
AND(I802&gt;=58,I802&lt;=62),"D-60",
AND(I802&gt;=28,I802&lt;=32),"D-30",
AND(I802=0),"당월",
TRUE,"그외")</f>
        <v>당월</v>
      </c>
    </row>
    <row r="803" spans="1:10" ht="17.649999999999999" customHeight="1" x14ac:dyDescent="0.3">
      <c r="A803" s="4">
        <v>46023</v>
      </c>
      <c r="B803" s="5" t="s">
        <v>11</v>
      </c>
      <c r="C803" s="4">
        <v>45839</v>
      </c>
      <c r="D803" s="5" t="s">
        <v>10</v>
      </c>
      <c r="E803" s="6">
        <v>153</v>
      </c>
      <c r="F803" s="6">
        <v>250650.9803921569</v>
      </c>
      <c r="G803" s="6">
        <v>38349600</v>
      </c>
      <c r="H803" s="6">
        <v>2623464</v>
      </c>
      <c r="I803" s="6">
        <f t="shared" si="12"/>
        <v>184</v>
      </c>
      <c r="J803" t="str" cm="1">
        <f t="array" ref="J803">_xlfn.IFS(
AND(I803&gt;=89,I803&lt;=92),"D-90",
AND(I803&gt;=58,I803&lt;=62),"D-60",
AND(I803&gt;=28,I803&lt;=32),"D-30",
AND(I803=0),"당월",
TRUE,"그외")</f>
        <v>그외</v>
      </c>
    </row>
    <row r="804" spans="1:10" ht="17.649999999999999" customHeight="1" x14ac:dyDescent="0.3">
      <c r="A804" s="4">
        <v>46023</v>
      </c>
      <c r="B804" s="5" t="s">
        <v>11</v>
      </c>
      <c r="C804" s="4">
        <v>45870</v>
      </c>
      <c r="D804" s="5" t="s">
        <v>9</v>
      </c>
      <c r="E804" s="6">
        <v>146</v>
      </c>
      <c r="F804" s="6">
        <v>230904.10958904109</v>
      </c>
      <c r="G804" s="6">
        <v>33712000</v>
      </c>
      <c r="H804" s="6">
        <v>3796000</v>
      </c>
      <c r="I804" s="6">
        <f t="shared" si="12"/>
        <v>153</v>
      </c>
      <c r="J804" t="str" cm="1">
        <f t="array" ref="J804">_xlfn.IFS(
AND(I804&gt;=89,I804&lt;=92),"D-90",
AND(I804&gt;=58,I804&lt;=62),"D-60",
AND(I804&gt;=28,I804&lt;=32),"D-30",
AND(I804=0),"당월",
TRUE,"그외")</f>
        <v>그외</v>
      </c>
    </row>
    <row r="805" spans="1:10" ht="17.649999999999999" customHeight="1" x14ac:dyDescent="0.3">
      <c r="A805" s="4">
        <v>46023</v>
      </c>
      <c r="B805" s="5" t="s">
        <v>11</v>
      </c>
      <c r="C805" s="4">
        <v>45870</v>
      </c>
      <c r="D805" s="5" t="s">
        <v>10</v>
      </c>
      <c r="E805" s="6">
        <v>426</v>
      </c>
      <c r="F805" s="6">
        <v>273851.64319248818</v>
      </c>
      <c r="G805" s="6">
        <v>116660800</v>
      </c>
      <c r="H805" s="6">
        <v>11076000</v>
      </c>
      <c r="I805" s="6">
        <f t="shared" si="12"/>
        <v>153</v>
      </c>
      <c r="J805" t="str" cm="1">
        <f t="array" ref="J805">_xlfn.IFS(
AND(I805&gt;=89,I805&lt;=92),"D-90",
AND(I805&gt;=58,I805&lt;=62),"D-60",
AND(I805&gt;=28,I805&lt;=32),"D-30",
AND(I805=0),"당월",
TRUE,"그외")</f>
        <v>그외</v>
      </c>
    </row>
    <row r="806" spans="1:10" ht="17.649999999999999" customHeight="1" x14ac:dyDescent="0.3">
      <c r="A806" s="4">
        <v>46023</v>
      </c>
      <c r="B806" s="5" t="s">
        <v>11</v>
      </c>
      <c r="C806" s="4">
        <v>45901</v>
      </c>
      <c r="D806" s="5" t="s">
        <v>9</v>
      </c>
      <c r="E806" s="6">
        <v>149</v>
      </c>
      <c r="F806" s="6">
        <v>243179.19463087249</v>
      </c>
      <c r="G806" s="6">
        <v>36233700</v>
      </c>
      <c r="H806" s="6">
        <v>3918700</v>
      </c>
      <c r="I806" s="6">
        <f t="shared" si="12"/>
        <v>122</v>
      </c>
      <c r="J806" t="str" cm="1">
        <f t="array" ref="J806">_xlfn.IFS(
AND(I806&gt;=89,I806&lt;=92),"D-90",
AND(I806&gt;=58,I806&lt;=62),"D-60",
AND(I806&gt;=28,I806&lt;=32),"D-30",
AND(I806=0),"당월",
TRUE,"그외")</f>
        <v>그외</v>
      </c>
    </row>
    <row r="807" spans="1:10" ht="17.649999999999999" customHeight="1" x14ac:dyDescent="0.3">
      <c r="A807" s="4">
        <v>46023</v>
      </c>
      <c r="B807" s="5" t="s">
        <v>11</v>
      </c>
      <c r="C807" s="4">
        <v>45901</v>
      </c>
      <c r="D807" s="5" t="s">
        <v>10</v>
      </c>
      <c r="E807" s="6">
        <v>848</v>
      </c>
      <c r="F807" s="6">
        <v>260758.19103773581</v>
      </c>
      <c r="G807" s="6">
        <v>221122946</v>
      </c>
      <c r="H807" s="6">
        <v>22333116</v>
      </c>
      <c r="I807" s="6">
        <f t="shared" si="12"/>
        <v>122</v>
      </c>
      <c r="J807" t="str" cm="1">
        <f t="array" ref="J807">_xlfn.IFS(
AND(I807&gt;=89,I807&lt;=92),"D-90",
AND(I807&gt;=58,I807&lt;=62),"D-60",
AND(I807&gt;=28,I807&lt;=32),"D-30",
AND(I807=0),"당월",
TRUE,"그외")</f>
        <v>그외</v>
      </c>
    </row>
    <row r="808" spans="1:10" ht="17.649999999999999" customHeight="1" x14ac:dyDescent="0.3">
      <c r="A808" s="4">
        <v>46023</v>
      </c>
      <c r="B808" s="5" t="s">
        <v>11</v>
      </c>
      <c r="C808" s="4">
        <v>45931</v>
      </c>
      <c r="D808" s="5" t="s">
        <v>9</v>
      </c>
      <c r="E808" s="6">
        <v>317</v>
      </c>
      <c r="F808" s="6">
        <v>236248.5804416404</v>
      </c>
      <c r="G808" s="6">
        <v>74890800</v>
      </c>
      <c r="H808" s="6">
        <v>8368800</v>
      </c>
      <c r="I808" s="6">
        <f t="shared" si="12"/>
        <v>92</v>
      </c>
      <c r="J808" t="str" cm="1">
        <f t="array" ref="J808">_xlfn.IFS(
AND(I808&gt;=89,I808&lt;=92),"D-90",
AND(I808&gt;=58,I808&lt;=62),"D-60",
AND(I808&gt;=28,I808&lt;=32),"D-30",
AND(I808=0),"당월",
TRUE,"그외")</f>
        <v>D-90</v>
      </c>
    </row>
    <row r="809" spans="1:10" ht="17.649999999999999" customHeight="1" x14ac:dyDescent="0.3">
      <c r="A809" s="4">
        <v>46023</v>
      </c>
      <c r="B809" s="5" t="s">
        <v>11</v>
      </c>
      <c r="C809" s="4">
        <v>45931</v>
      </c>
      <c r="D809" s="5" t="s">
        <v>10</v>
      </c>
      <c r="E809" s="6">
        <v>1243</v>
      </c>
      <c r="F809" s="6">
        <v>257715.90426387769</v>
      </c>
      <c r="G809" s="6">
        <v>320340869</v>
      </c>
      <c r="H809" s="6">
        <v>32921320</v>
      </c>
      <c r="I809" s="6">
        <f t="shared" si="12"/>
        <v>92</v>
      </c>
      <c r="J809" t="str" cm="1">
        <f t="array" ref="J809">_xlfn.IFS(
AND(I809&gt;=89,I809&lt;=92),"D-90",
AND(I809&gt;=58,I809&lt;=62),"D-60",
AND(I809&gt;=28,I809&lt;=32),"D-30",
AND(I809=0),"당월",
TRUE,"그외")</f>
        <v>D-90</v>
      </c>
    </row>
    <row r="810" spans="1:10" ht="17.649999999999999" customHeight="1" x14ac:dyDescent="0.3">
      <c r="A810" s="4">
        <v>46023</v>
      </c>
      <c r="B810" s="5" t="s">
        <v>11</v>
      </c>
      <c r="C810" s="4">
        <v>45962</v>
      </c>
      <c r="D810" s="5" t="s">
        <v>9</v>
      </c>
      <c r="E810" s="6">
        <v>1395</v>
      </c>
      <c r="F810" s="6">
        <v>233466.59498207891</v>
      </c>
      <c r="G810" s="6">
        <v>325685900</v>
      </c>
      <c r="H810" s="6">
        <v>37245900</v>
      </c>
      <c r="I810" s="6">
        <f t="shared" si="12"/>
        <v>61</v>
      </c>
      <c r="J810" t="str" cm="1">
        <f t="array" ref="J810">_xlfn.IFS(
AND(I810&gt;=89,I810&lt;=92),"D-90",
AND(I810&gt;=58,I810&lt;=62),"D-60",
AND(I810&gt;=28,I810&lt;=32),"D-30",
AND(I810=0),"당월",
TRUE,"그외")</f>
        <v>D-60</v>
      </c>
    </row>
    <row r="811" spans="1:10" ht="17.649999999999999" customHeight="1" x14ac:dyDescent="0.3">
      <c r="A811" s="4">
        <v>46023</v>
      </c>
      <c r="B811" s="5" t="s">
        <v>11</v>
      </c>
      <c r="C811" s="4">
        <v>45962</v>
      </c>
      <c r="D811" s="5" t="s">
        <v>10</v>
      </c>
      <c r="E811" s="6">
        <v>2433</v>
      </c>
      <c r="F811" s="6">
        <v>240536.512946979</v>
      </c>
      <c r="G811" s="6">
        <v>585225336</v>
      </c>
      <c r="H811" s="6">
        <v>65024254</v>
      </c>
      <c r="I811" s="6">
        <f t="shared" si="12"/>
        <v>61</v>
      </c>
      <c r="J811" t="str" cm="1">
        <f t="array" ref="J811">_xlfn.IFS(
AND(I811&gt;=89,I811&lt;=92),"D-90",
AND(I811&gt;=58,I811&lt;=62),"D-60",
AND(I811&gt;=28,I811&lt;=32),"D-30",
AND(I811=0),"당월",
TRUE,"그외")</f>
        <v>D-60</v>
      </c>
    </row>
    <row r="812" spans="1:10" ht="17.649999999999999" customHeight="1" x14ac:dyDescent="0.3">
      <c r="A812" s="4">
        <v>46023</v>
      </c>
      <c r="B812" s="5" t="s">
        <v>11</v>
      </c>
      <c r="C812" s="4">
        <v>45992</v>
      </c>
      <c r="D812" s="5" t="s">
        <v>9</v>
      </c>
      <c r="E812" s="6">
        <v>1316</v>
      </c>
      <c r="F812" s="6">
        <v>223147.56838905779</v>
      </c>
      <c r="G812" s="6">
        <v>293662200</v>
      </c>
      <c r="H812" s="6">
        <v>41717200</v>
      </c>
      <c r="I812" s="6">
        <f t="shared" si="12"/>
        <v>31</v>
      </c>
      <c r="J812" t="str" cm="1">
        <f t="array" ref="J812">_xlfn.IFS(
AND(I812&gt;=89,I812&lt;=92),"D-90",
AND(I812&gt;=58,I812&lt;=62),"D-60",
AND(I812&gt;=28,I812&lt;=32),"D-30",
AND(I812=0),"당월",
TRUE,"그외")</f>
        <v>D-30</v>
      </c>
    </row>
    <row r="813" spans="1:10" ht="17.649999999999999" customHeight="1" x14ac:dyDescent="0.3">
      <c r="A813" s="4">
        <v>46023</v>
      </c>
      <c r="B813" s="5" t="s">
        <v>11</v>
      </c>
      <c r="C813" s="4">
        <v>45992</v>
      </c>
      <c r="D813" s="5" t="s">
        <v>10</v>
      </c>
      <c r="E813" s="6">
        <v>1639</v>
      </c>
      <c r="F813" s="6">
        <v>260675.50030506411</v>
      </c>
      <c r="G813" s="6">
        <v>427247145</v>
      </c>
      <c r="H813" s="6">
        <v>52100718</v>
      </c>
      <c r="I813" s="6">
        <f t="shared" si="12"/>
        <v>31</v>
      </c>
      <c r="J813" t="str" cm="1">
        <f t="array" ref="J813">_xlfn.IFS(
AND(I813&gt;=89,I813&lt;=92),"D-90",
AND(I813&gt;=58,I813&lt;=62),"D-60",
AND(I813&gt;=28,I813&lt;=32),"D-30",
AND(I813=0),"당월",
TRUE,"그외")</f>
        <v>D-30</v>
      </c>
    </row>
    <row r="814" spans="1:10" ht="17.649999999999999" customHeight="1" x14ac:dyDescent="0.3">
      <c r="A814" s="4">
        <v>46023</v>
      </c>
      <c r="B814" s="5" t="s">
        <v>11</v>
      </c>
      <c r="C814" s="4">
        <v>46023</v>
      </c>
      <c r="D814" s="5" t="s">
        <v>9</v>
      </c>
      <c r="E814" s="6">
        <v>124</v>
      </c>
      <c r="F814" s="6">
        <v>257594.3548387097</v>
      </c>
      <c r="G814" s="6">
        <v>31941700</v>
      </c>
      <c r="H814" s="6">
        <v>3982700</v>
      </c>
      <c r="I814" s="6">
        <f t="shared" si="12"/>
        <v>0</v>
      </c>
      <c r="J814" t="str" cm="1">
        <f t="array" ref="J814">_xlfn.IFS(
AND(I814&gt;=89,I814&lt;=92),"D-90",
AND(I814&gt;=58,I814&lt;=62),"D-60",
AND(I814&gt;=28,I814&lt;=32),"D-30",
AND(I814=0),"당월",
TRUE,"그외")</f>
        <v>당월</v>
      </c>
    </row>
    <row r="815" spans="1:10" ht="17.649999999999999" customHeight="1" x14ac:dyDescent="0.3">
      <c r="A815" s="4">
        <v>46023</v>
      </c>
      <c r="B815" s="5" t="s">
        <v>11</v>
      </c>
      <c r="C815" s="4">
        <v>46023</v>
      </c>
      <c r="D815" s="5" t="s">
        <v>10</v>
      </c>
      <c r="E815" s="6">
        <v>509</v>
      </c>
      <c r="F815" s="6">
        <v>280214.93516699411</v>
      </c>
      <c r="G815" s="6">
        <v>142629402</v>
      </c>
      <c r="H815" s="6">
        <v>16240414</v>
      </c>
      <c r="I815" s="6">
        <f t="shared" si="12"/>
        <v>0</v>
      </c>
      <c r="J815" t="str" cm="1">
        <f t="array" ref="J815">_xlfn.IFS(
AND(I815&gt;=89,I815&lt;=92),"D-90",
AND(I815&gt;=58,I815&lt;=62),"D-60",
AND(I815&gt;=28,I815&lt;=32),"D-30",
AND(I815=0),"당월",
TRUE,"그외")</f>
        <v>당월</v>
      </c>
    </row>
    <row r="816" spans="1:10" ht="17.649999999999999" customHeight="1" x14ac:dyDescent="0.3">
      <c r="A816" s="4">
        <v>46023</v>
      </c>
      <c r="B816" s="5" t="s">
        <v>12</v>
      </c>
      <c r="C816" s="4">
        <v>45839</v>
      </c>
      <c r="D816" s="5" t="s">
        <v>10</v>
      </c>
      <c r="E816" s="6">
        <v>67</v>
      </c>
      <c r="F816" s="6">
        <v>299155.22388059698</v>
      </c>
      <c r="G816" s="6">
        <v>20043400</v>
      </c>
      <c r="H816" s="6">
        <v>1130757</v>
      </c>
      <c r="I816" s="6">
        <f t="shared" si="12"/>
        <v>184</v>
      </c>
      <c r="J816" t="str" cm="1">
        <f t="array" ref="J816">_xlfn.IFS(
AND(I816&gt;=89,I816&lt;=92),"D-90",
AND(I816&gt;=58,I816&lt;=62),"D-60",
AND(I816&gt;=28,I816&lt;=32),"D-30",
AND(I816=0),"당월",
TRUE,"그외")</f>
        <v>그외</v>
      </c>
    </row>
    <row r="817" spans="1:10" ht="17.649999999999999" customHeight="1" x14ac:dyDescent="0.3">
      <c r="A817" s="4">
        <v>46023</v>
      </c>
      <c r="B817" s="5" t="s">
        <v>12</v>
      </c>
      <c r="C817" s="4">
        <v>45870</v>
      </c>
      <c r="D817" s="5" t="s">
        <v>10</v>
      </c>
      <c r="E817" s="6">
        <v>221</v>
      </c>
      <c r="F817" s="6">
        <v>281728.18099547509</v>
      </c>
      <c r="G817" s="6">
        <v>62261928</v>
      </c>
      <c r="H817" s="6">
        <v>5889256</v>
      </c>
      <c r="I817" s="6">
        <f t="shared" si="12"/>
        <v>153</v>
      </c>
      <c r="J817" t="str" cm="1">
        <f t="array" ref="J817">_xlfn.IFS(
AND(I817&gt;=89,I817&lt;=92),"D-90",
AND(I817&gt;=58,I817&lt;=62),"D-60",
AND(I817&gt;=28,I817&lt;=32),"D-30",
AND(I817=0),"당월",
TRUE,"그외")</f>
        <v>그외</v>
      </c>
    </row>
    <row r="818" spans="1:10" ht="17.649999999999999" customHeight="1" x14ac:dyDescent="0.3">
      <c r="A818" s="4">
        <v>46023</v>
      </c>
      <c r="B818" s="5" t="s">
        <v>12</v>
      </c>
      <c r="C818" s="4">
        <v>45901</v>
      </c>
      <c r="D818" s="5" t="s">
        <v>10</v>
      </c>
      <c r="E818" s="6">
        <v>565</v>
      </c>
      <c r="F818" s="6">
        <v>269431.34336283192</v>
      </c>
      <c r="G818" s="6">
        <v>152228709</v>
      </c>
      <c r="H818" s="6">
        <v>14891596</v>
      </c>
      <c r="I818" s="6">
        <f t="shared" si="12"/>
        <v>122</v>
      </c>
      <c r="J818" t="str" cm="1">
        <f t="array" ref="J818">_xlfn.IFS(
AND(I818&gt;=89,I818&lt;=92),"D-90",
AND(I818&gt;=58,I818&lt;=62),"D-60",
AND(I818&gt;=28,I818&lt;=32),"D-30",
AND(I818=0),"당월",
TRUE,"그외")</f>
        <v>그외</v>
      </c>
    </row>
    <row r="819" spans="1:10" ht="17.649999999999999" customHeight="1" x14ac:dyDescent="0.3">
      <c r="A819" s="4">
        <v>46023</v>
      </c>
      <c r="B819" s="5" t="s">
        <v>12</v>
      </c>
      <c r="C819" s="4">
        <v>45931</v>
      </c>
      <c r="D819" s="5" t="s">
        <v>9</v>
      </c>
      <c r="E819" s="6">
        <v>12</v>
      </c>
      <c r="F819" s="6">
        <v>313066.66666666669</v>
      </c>
      <c r="G819" s="6">
        <v>3756800</v>
      </c>
      <c r="H819" s="6">
        <v>316800</v>
      </c>
      <c r="I819" s="6">
        <f t="shared" si="12"/>
        <v>92</v>
      </c>
      <c r="J819" t="str" cm="1">
        <f t="array" ref="J819">_xlfn.IFS(
AND(I819&gt;=89,I819&lt;=92),"D-90",
AND(I819&gt;=58,I819&lt;=62),"D-60",
AND(I819&gt;=28,I819&lt;=32),"D-30",
AND(I819=0),"당월",
TRUE,"그외")</f>
        <v>D-90</v>
      </c>
    </row>
    <row r="820" spans="1:10" ht="17.649999999999999" customHeight="1" x14ac:dyDescent="0.3">
      <c r="A820" s="4">
        <v>46023</v>
      </c>
      <c r="B820" s="5" t="s">
        <v>12</v>
      </c>
      <c r="C820" s="4">
        <v>45931</v>
      </c>
      <c r="D820" s="5" t="s">
        <v>10</v>
      </c>
      <c r="E820" s="6">
        <v>775</v>
      </c>
      <c r="F820" s="6">
        <v>267216.12903225812</v>
      </c>
      <c r="G820" s="6">
        <v>207092500</v>
      </c>
      <c r="H820" s="6">
        <v>20248800</v>
      </c>
      <c r="I820" s="6">
        <f t="shared" si="12"/>
        <v>92</v>
      </c>
      <c r="J820" t="str" cm="1">
        <f t="array" ref="J820">_xlfn.IFS(
AND(I820&gt;=89,I820&lt;=92),"D-90",
AND(I820&gt;=58,I820&lt;=62),"D-60",
AND(I820&gt;=28,I820&lt;=32),"D-30",
AND(I820=0),"당월",
TRUE,"그외")</f>
        <v>D-90</v>
      </c>
    </row>
    <row r="821" spans="1:10" ht="17.649999999999999" customHeight="1" x14ac:dyDescent="0.3">
      <c r="A821" s="4">
        <v>46023</v>
      </c>
      <c r="B821" s="5" t="s">
        <v>12</v>
      </c>
      <c r="C821" s="4">
        <v>45962</v>
      </c>
      <c r="D821" s="5" t="s">
        <v>9</v>
      </c>
      <c r="E821" s="6">
        <v>799</v>
      </c>
      <c r="F821" s="6">
        <v>262587.35919899878</v>
      </c>
      <c r="G821" s="6">
        <v>209807300</v>
      </c>
      <c r="H821" s="6">
        <v>21333300</v>
      </c>
      <c r="I821" s="6">
        <f t="shared" si="12"/>
        <v>61</v>
      </c>
      <c r="J821" t="str" cm="1">
        <f t="array" ref="J821">_xlfn.IFS(
AND(I821&gt;=89,I821&lt;=92),"D-90",
AND(I821&gt;=58,I821&lt;=62),"D-60",
AND(I821&gt;=28,I821&lt;=32),"D-30",
AND(I821=0),"당월",
TRUE,"그외")</f>
        <v>D-60</v>
      </c>
    </row>
    <row r="822" spans="1:10" ht="17.649999999999999" customHeight="1" x14ac:dyDescent="0.3">
      <c r="A822" s="4">
        <v>46023</v>
      </c>
      <c r="B822" s="5" t="s">
        <v>12</v>
      </c>
      <c r="C822" s="4">
        <v>45962</v>
      </c>
      <c r="D822" s="5" t="s">
        <v>10</v>
      </c>
      <c r="E822" s="6">
        <v>1001</v>
      </c>
      <c r="F822" s="6">
        <v>252803.97602397599</v>
      </c>
      <c r="G822" s="6">
        <v>253056780</v>
      </c>
      <c r="H822" s="6">
        <v>26889278</v>
      </c>
      <c r="I822" s="6">
        <f t="shared" si="12"/>
        <v>61</v>
      </c>
      <c r="J822" t="str" cm="1">
        <f t="array" ref="J822">_xlfn.IFS(
AND(I822&gt;=89,I822&lt;=92),"D-90",
AND(I822&gt;=58,I822&lt;=62),"D-60",
AND(I822&gt;=28,I822&lt;=32),"D-30",
AND(I822=0),"당월",
TRUE,"그외")</f>
        <v>D-60</v>
      </c>
    </row>
    <row r="823" spans="1:10" ht="17.649999999999999" customHeight="1" x14ac:dyDescent="0.3">
      <c r="A823" s="4">
        <v>46023</v>
      </c>
      <c r="B823" s="5" t="s">
        <v>12</v>
      </c>
      <c r="C823" s="4">
        <v>45992</v>
      </c>
      <c r="D823" s="5" t="s">
        <v>9</v>
      </c>
      <c r="E823" s="6">
        <v>1589</v>
      </c>
      <c r="F823" s="6">
        <v>239701.88797986161</v>
      </c>
      <c r="G823" s="6">
        <v>380886300</v>
      </c>
      <c r="H823" s="6">
        <v>50351300</v>
      </c>
      <c r="I823" s="6">
        <f t="shared" si="12"/>
        <v>31</v>
      </c>
      <c r="J823" t="str" cm="1">
        <f t="array" ref="J823">_xlfn.IFS(
AND(I823&gt;=89,I823&lt;=92),"D-90",
AND(I823&gt;=58,I823&lt;=62),"D-60",
AND(I823&gt;=28,I823&lt;=32),"D-30",
AND(I823=0),"당월",
TRUE,"그외")</f>
        <v>D-30</v>
      </c>
    </row>
    <row r="824" spans="1:10" ht="17.649999999999999" customHeight="1" x14ac:dyDescent="0.3">
      <c r="A824" s="4">
        <v>46023</v>
      </c>
      <c r="B824" s="5" t="s">
        <v>12</v>
      </c>
      <c r="C824" s="4">
        <v>45992</v>
      </c>
      <c r="D824" s="5" t="s">
        <v>10</v>
      </c>
      <c r="E824" s="6">
        <v>2015</v>
      </c>
      <c r="F824" s="6">
        <v>205949.3359801489</v>
      </c>
      <c r="G824" s="6">
        <v>414987912</v>
      </c>
      <c r="H824" s="6">
        <v>64463317</v>
      </c>
      <c r="I824" s="6">
        <f t="shared" si="12"/>
        <v>31</v>
      </c>
      <c r="J824" t="str" cm="1">
        <f t="array" ref="J824">_xlfn.IFS(
AND(I824&gt;=89,I824&lt;=92),"D-90",
AND(I824&gt;=58,I824&lt;=62),"D-60",
AND(I824&gt;=28,I824&lt;=32),"D-30",
AND(I824=0),"당월",
TRUE,"그외")</f>
        <v>D-30</v>
      </c>
    </row>
    <row r="825" spans="1:10" ht="17.649999999999999" customHeight="1" x14ac:dyDescent="0.3">
      <c r="A825" s="4">
        <v>46023</v>
      </c>
      <c r="B825" s="5" t="s">
        <v>12</v>
      </c>
      <c r="C825" s="4">
        <v>46023</v>
      </c>
      <c r="D825" s="5" t="s">
        <v>9</v>
      </c>
      <c r="E825" s="6">
        <v>1632</v>
      </c>
      <c r="F825" s="6">
        <v>213025.4901960784</v>
      </c>
      <c r="G825" s="6">
        <v>347657600</v>
      </c>
      <c r="H825" s="6">
        <v>52684600</v>
      </c>
      <c r="I825" s="6">
        <f t="shared" si="12"/>
        <v>0</v>
      </c>
      <c r="J825" t="str" cm="1">
        <f t="array" ref="J825">_xlfn.IFS(
AND(I825&gt;=89,I825&lt;=92),"D-90",
AND(I825&gt;=58,I825&lt;=62),"D-60",
AND(I825&gt;=28,I825&lt;=32),"D-30",
AND(I825=0),"당월",
TRUE,"그외")</f>
        <v>당월</v>
      </c>
    </row>
    <row r="826" spans="1:10" ht="17.649999999999999" customHeight="1" x14ac:dyDescent="0.3">
      <c r="A826" s="4">
        <v>46023</v>
      </c>
      <c r="B826" s="5" t="s">
        <v>12</v>
      </c>
      <c r="C826" s="4">
        <v>46023</v>
      </c>
      <c r="D826" s="5" t="s">
        <v>10</v>
      </c>
      <c r="E826" s="6">
        <v>1292</v>
      </c>
      <c r="F826" s="6">
        <v>191974.89783281731</v>
      </c>
      <c r="G826" s="6">
        <v>248031568</v>
      </c>
      <c r="H826" s="6">
        <v>42292197</v>
      </c>
      <c r="I826" s="6">
        <f t="shared" si="12"/>
        <v>0</v>
      </c>
      <c r="J826" t="str" cm="1">
        <f t="array" ref="J826">_xlfn.IFS(
AND(I826&gt;=89,I826&lt;=92),"D-90",
AND(I826&gt;=58,I826&lt;=62),"D-60",
AND(I826&gt;=28,I826&lt;=32),"D-30",
AND(I826=0),"당월",
TRUE,"그외")</f>
        <v>당월</v>
      </c>
    </row>
    <row r="827" spans="1:10" ht="17.649999999999999" customHeight="1" x14ac:dyDescent="0.3">
      <c r="A827" s="4">
        <v>46023</v>
      </c>
      <c r="B827" s="5" t="s">
        <v>13</v>
      </c>
      <c r="C827" s="4">
        <v>45839</v>
      </c>
      <c r="D827" s="5" t="s">
        <v>10</v>
      </c>
      <c r="E827" s="6">
        <v>11</v>
      </c>
      <c r="F827" s="6">
        <v>256500</v>
      </c>
      <c r="G827" s="6">
        <v>2821500</v>
      </c>
      <c r="H827" s="6">
        <v>181500</v>
      </c>
      <c r="I827" s="6">
        <f t="shared" si="12"/>
        <v>184</v>
      </c>
      <c r="J827" t="str" cm="1">
        <f t="array" ref="J827">_xlfn.IFS(
AND(I827&gt;=89,I827&lt;=92),"D-90",
AND(I827&gt;=58,I827&lt;=62),"D-60",
AND(I827&gt;=28,I827&lt;=32),"D-30",
AND(I827=0),"당월",
TRUE,"그외")</f>
        <v>그외</v>
      </c>
    </row>
    <row r="828" spans="1:10" ht="17.649999999999999" customHeight="1" x14ac:dyDescent="0.3">
      <c r="A828" s="4">
        <v>46023</v>
      </c>
      <c r="B828" s="5" t="s">
        <v>13</v>
      </c>
      <c r="C828" s="4">
        <v>45870</v>
      </c>
      <c r="D828" s="5" t="s">
        <v>10</v>
      </c>
      <c r="E828" s="6">
        <v>245</v>
      </c>
      <c r="F828" s="6">
        <v>220359.18367346941</v>
      </c>
      <c r="G828" s="6">
        <v>53988000</v>
      </c>
      <c r="H828" s="6">
        <v>6370000</v>
      </c>
      <c r="I828" s="6">
        <f t="shared" si="12"/>
        <v>153</v>
      </c>
      <c r="J828" t="str" cm="1">
        <f t="array" ref="J828">_xlfn.IFS(
AND(I828&gt;=89,I828&lt;=92),"D-90",
AND(I828&gt;=58,I828&lt;=62),"D-60",
AND(I828&gt;=28,I828&lt;=32),"D-30",
AND(I828=0),"당월",
TRUE,"그외")</f>
        <v>그외</v>
      </c>
    </row>
    <row r="829" spans="1:10" ht="17.649999999999999" customHeight="1" x14ac:dyDescent="0.3">
      <c r="A829" s="4">
        <v>46023</v>
      </c>
      <c r="B829" s="5" t="s">
        <v>13</v>
      </c>
      <c r="C829" s="4">
        <v>45901</v>
      </c>
      <c r="D829" s="5" t="s">
        <v>10</v>
      </c>
      <c r="E829" s="6">
        <v>1144</v>
      </c>
      <c r="F829" s="6">
        <v>224368.42482517479</v>
      </c>
      <c r="G829" s="6">
        <v>256677478</v>
      </c>
      <c r="H829" s="6">
        <v>30148644</v>
      </c>
      <c r="I829" s="6">
        <f t="shared" si="12"/>
        <v>122</v>
      </c>
      <c r="J829" t="str" cm="1">
        <f t="array" ref="J829">_xlfn.IFS(
AND(I829&gt;=89,I829&lt;=92),"D-90",
AND(I829&gt;=58,I829&lt;=62),"D-60",
AND(I829&gt;=28,I829&lt;=32),"D-30",
AND(I829=0),"당월",
TRUE,"그외")</f>
        <v>그외</v>
      </c>
    </row>
    <row r="830" spans="1:10" ht="17.649999999999999" customHeight="1" x14ac:dyDescent="0.3">
      <c r="A830" s="4">
        <v>46023</v>
      </c>
      <c r="B830" s="5" t="s">
        <v>13</v>
      </c>
      <c r="C830" s="4">
        <v>45931</v>
      </c>
      <c r="D830" s="5" t="s">
        <v>10</v>
      </c>
      <c r="E830" s="6">
        <v>1028</v>
      </c>
      <c r="F830" s="6">
        <v>246134.75680933849</v>
      </c>
      <c r="G830" s="6">
        <v>253026530</v>
      </c>
      <c r="H830" s="6">
        <v>27331668</v>
      </c>
      <c r="I830" s="6">
        <f t="shared" si="12"/>
        <v>92</v>
      </c>
      <c r="J830" t="str" cm="1">
        <f t="array" ref="J830">_xlfn.IFS(
AND(I830&gt;=89,I830&lt;=92),"D-90",
AND(I830&gt;=58,I830&lt;=62),"D-60",
AND(I830&gt;=28,I830&lt;=32),"D-30",
AND(I830=0),"당월",
TRUE,"그외")</f>
        <v>D-90</v>
      </c>
    </row>
    <row r="831" spans="1:10" ht="17.649999999999999" customHeight="1" x14ac:dyDescent="0.3">
      <c r="A831" s="4">
        <v>46023</v>
      </c>
      <c r="B831" s="5" t="s">
        <v>13</v>
      </c>
      <c r="C831" s="4">
        <v>45962</v>
      </c>
      <c r="D831" s="5" t="s">
        <v>9</v>
      </c>
      <c r="E831" s="6">
        <v>527</v>
      </c>
      <c r="F831" s="6">
        <v>229145.92030360529</v>
      </c>
      <c r="G831" s="6">
        <v>120759900</v>
      </c>
      <c r="H831" s="6">
        <v>14070900</v>
      </c>
      <c r="I831" s="6">
        <f t="shared" si="12"/>
        <v>61</v>
      </c>
      <c r="J831" t="str" cm="1">
        <f t="array" ref="J831">_xlfn.IFS(
AND(I831&gt;=89,I831&lt;=92),"D-90",
AND(I831&gt;=58,I831&lt;=62),"D-60",
AND(I831&gt;=28,I831&lt;=32),"D-30",
AND(I831=0),"당월",
TRUE,"그외")</f>
        <v>D-60</v>
      </c>
    </row>
    <row r="832" spans="1:10" ht="17.649999999999999" customHeight="1" x14ac:dyDescent="0.3">
      <c r="A832" s="4">
        <v>46023</v>
      </c>
      <c r="B832" s="5" t="s">
        <v>13</v>
      </c>
      <c r="C832" s="4">
        <v>45962</v>
      </c>
      <c r="D832" s="5" t="s">
        <v>10</v>
      </c>
      <c r="E832" s="6">
        <v>1604</v>
      </c>
      <c r="F832" s="6">
        <v>234016.24750623439</v>
      </c>
      <c r="G832" s="6">
        <v>375362061</v>
      </c>
      <c r="H832" s="6">
        <v>42947974</v>
      </c>
      <c r="I832" s="6">
        <f t="shared" si="12"/>
        <v>61</v>
      </c>
      <c r="J832" t="str" cm="1">
        <f t="array" ref="J832">_xlfn.IFS(
AND(I832&gt;=89,I832&lt;=92),"D-90",
AND(I832&gt;=58,I832&lt;=62),"D-60",
AND(I832&gt;=28,I832&lt;=32),"D-30",
AND(I832=0),"당월",
TRUE,"그외")</f>
        <v>D-60</v>
      </c>
    </row>
    <row r="833" spans="1:10" ht="17.649999999999999" customHeight="1" x14ac:dyDescent="0.3">
      <c r="A833" s="4">
        <v>46023</v>
      </c>
      <c r="B833" s="5" t="s">
        <v>13</v>
      </c>
      <c r="C833" s="4">
        <v>45992</v>
      </c>
      <c r="D833" s="5" t="s">
        <v>9</v>
      </c>
      <c r="E833" s="6">
        <v>1108</v>
      </c>
      <c r="F833" s="6">
        <v>219293.86281588449</v>
      </c>
      <c r="G833" s="6">
        <v>242977600</v>
      </c>
      <c r="H833" s="6">
        <v>35113600</v>
      </c>
      <c r="I833" s="6">
        <f t="shared" si="12"/>
        <v>31</v>
      </c>
      <c r="J833" t="str" cm="1">
        <f t="array" ref="J833">_xlfn.IFS(
AND(I833&gt;=89,I833&lt;=92),"D-90",
AND(I833&gt;=58,I833&lt;=62),"D-60",
AND(I833&gt;=28,I833&lt;=32),"D-30",
AND(I833=0),"당월",
TRUE,"그외")</f>
        <v>D-30</v>
      </c>
    </row>
    <row r="834" spans="1:10" ht="17.649999999999999" customHeight="1" x14ac:dyDescent="0.3">
      <c r="A834" s="4">
        <v>46023</v>
      </c>
      <c r="B834" s="5" t="s">
        <v>13</v>
      </c>
      <c r="C834" s="4">
        <v>45992</v>
      </c>
      <c r="D834" s="5" t="s">
        <v>10</v>
      </c>
      <c r="E834" s="6">
        <v>1883</v>
      </c>
      <c r="F834" s="6">
        <v>192671.32554434409</v>
      </c>
      <c r="G834" s="6">
        <v>362800106</v>
      </c>
      <c r="H834" s="6">
        <v>60750600</v>
      </c>
      <c r="I834" s="6">
        <f t="shared" si="12"/>
        <v>31</v>
      </c>
      <c r="J834" t="str" cm="1">
        <f t="array" ref="J834">_xlfn.IFS(
AND(I834&gt;=89,I834&lt;=92),"D-90",
AND(I834&gt;=58,I834&lt;=62),"D-60",
AND(I834&gt;=28,I834&lt;=32),"D-30",
AND(I834=0),"당월",
TRUE,"그외")</f>
        <v>D-30</v>
      </c>
    </row>
    <row r="835" spans="1:10" ht="17.649999999999999" customHeight="1" x14ac:dyDescent="0.3">
      <c r="A835" s="4">
        <v>46023</v>
      </c>
      <c r="B835" s="5" t="s">
        <v>13</v>
      </c>
      <c r="C835" s="4">
        <v>46023</v>
      </c>
      <c r="D835" s="5" t="s">
        <v>9</v>
      </c>
      <c r="E835" s="6">
        <v>512</v>
      </c>
      <c r="F835" s="6">
        <v>179820.3125</v>
      </c>
      <c r="G835" s="6">
        <v>92068000</v>
      </c>
      <c r="H835" s="6">
        <v>16514000</v>
      </c>
      <c r="I835" s="6">
        <f t="shared" ref="I835:I898" si="13">A835-C835</f>
        <v>0</v>
      </c>
      <c r="J835" t="str" cm="1">
        <f t="array" ref="J835">_xlfn.IFS(
AND(I835&gt;=89,I835&lt;=92),"D-90",
AND(I835&gt;=58,I835&lt;=62),"D-60",
AND(I835&gt;=28,I835&lt;=32),"D-30",
AND(I835=0),"당월",
TRUE,"그외")</f>
        <v>당월</v>
      </c>
    </row>
    <row r="836" spans="1:10" ht="17.649999999999999" customHeight="1" x14ac:dyDescent="0.3">
      <c r="A836" s="4">
        <v>46023</v>
      </c>
      <c r="B836" s="5" t="s">
        <v>13</v>
      </c>
      <c r="C836" s="4">
        <v>46023</v>
      </c>
      <c r="D836" s="5" t="s">
        <v>10</v>
      </c>
      <c r="E836" s="6">
        <v>1964</v>
      </c>
      <c r="F836" s="6">
        <v>163185.2586558045</v>
      </c>
      <c r="G836" s="6">
        <v>320495848</v>
      </c>
      <c r="H836" s="6">
        <v>64199669</v>
      </c>
      <c r="I836" s="6">
        <f t="shared" si="13"/>
        <v>0</v>
      </c>
      <c r="J836" t="str" cm="1">
        <f t="array" ref="J836">_xlfn.IFS(
AND(I836&gt;=89,I836&lt;=92),"D-90",
AND(I836&gt;=58,I836&lt;=62),"D-60",
AND(I836&gt;=28,I836&lt;=32),"D-30",
AND(I836=0),"당월",
TRUE,"그외")</f>
        <v>당월</v>
      </c>
    </row>
    <row r="837" spans="1:10" ht="17.649999999999999" customHeight="1" x14ac:dyDescent="0.3">
      <c r="A837" s="4">
        <v>46054</v>
      </c>
      <c r="B837" s="5" t="s">
        <v>8</v>
      </c>
      <c r="C837" s="4">
        <v>45839</v>
      </c>
      <c r="D837" s="5" t="s">
        <v>10</v>
      </c>
      <c r="E837" s="6">
        <v>88</v>
      </c>
      <c r="F837" s="6">
        <v>363330.68181818182</v>
      </c>
      <c r="G837" s="6">
        <v>31973100</v>
      </c>
      <c r="H837" s="6">
        <v>1452000</v>
      </c>
      <c r="I837" s="6">
        <f t="shared" si="13"/>
        <v>215</v>
      </c>
      <c r="J837" t="str" cm="1">
        <f t="array" ref="J837">_xlfn.IFS(
AND(I837&gt;=89,I837&lt;=92),"D-90",
AND(I837&gt;=58,I837&lt;=62),"D-60",
AND(I837&gt;=28,I837&lt;=32),"D-30",
AND(I837=0),"당월",
TRUE,"그외")</f>
        <v>그외</v>
      </c>
    </row>
    <row r="838" spans="1:10" ht="17.649999999999999" customHeight="1" x14ac:dyDescent="0.3">
      <c r="A838" s="4">
        <v>46054</v>
      </c>
      <c r="B838" s="5" t="s">
        <v>8</v>
      </c>
      <c r="C838" s="4">
        <v>45870</v>
      </c>
      <c r="D838" s="5" t="s">
        <v>10</v>
      </c>
      <c r="E838" s="6">
        <v>185</v>
      </c>
      <c r="F838" s="6">
        <v>343761.71891891892</v>
      </c>
      <c r="G838" s="6">
        <v>63595918</v>
      </c>
      <c r="H838" s="6">
        <v>4840560</v>
      </c>
      <c r="I838" s="6">
        <f t="shared" si="13"/>
        <v>184</v>
      </c>
      <c r="J838" t="str" cm="1">
        <f t="array" ref="J838">_xlfn.IFS(
AND(I838&gt;=89,I838&lt;=92),"D-90",
AND(I838&gt;=58,I838&lt;=62),"D-60",
AND(I838&gt;=28,I838&lt;=32),"D-30",
AND(I838=0),"당월",
TRUE,"그외")</f>
        <v>그외</v>
      </c>
    </row>
    <row r="839" spans="1:10" ht="17.649999999999999" customHeight="1" x14ac:dyDescent="0.3">
      <c r="A839" s="4">
        <v>46054</v>
      </c>
      <c r="B839" s="5" t="s">
        <v>8</v>
      </c>
      <c r="C839" s="4">
        <v>45901</v>
      </c>
      <c r="D839" s="5" t="s">
        <v>10</v>
      </c>
      <c r="E839" s="6">
        <v>441</v>
      </c>
      <c r="F839" s="6">
        <v>274645.06349206349</v>
      </c>
      <c r="G839" s="6">
        <v>121118473</v>
      </c>
      <c r="H839" s="6">
        <v>11649026</v>
      </c>
      <c r="I839" s="6">
        <f t="shared" si="13"/>
        <v>153</v>
      </c>
      <c r="J839" t="str" cm="1">
        <f t="array" ref="J839">_xlfn.IFS(
AND(I839&gt;=89,I839&lt;=92),"D-90",
AND(I839&gt;=58,I839&lt;=62),"D-60",
AND(I839&gt;=28,I839&lt;=32),"D-30",
AND(I839=0),"당월",
TRUE,"그외")</f>
        <v>그외</v>
      </c>
    </row>
    <row r="840" spans="1:10" ht="17.649999999999999" customHeight="1" x14ac:dyDescent="0.3">
      <c r="A840" s="4">
        <v>46054</v>
      </c>
      <c r="B840" s="5" t="s">
        <v>8</v>
      </c>
      <c r="C840" s="4">
        <v>45931</v>
      </c>
      <c r="D840" s="5" t="s">
        <v>10</v>
      </c>
      <c r="E840" s="6">
        <v>1005</v>
      </c>
      <c r="F840" s="6">
        <v>319997.12736318412</v>
      </c>
      <c r="G840" s="6">
        <v>321597113</v>
      </c>
      <c r="H840" s="6">
        <v>26677726</v>
      </c>
      <c r="I840" s="6">
        <f t="shared" si="13"/>
        <v>123</v>
      </c>
      <c r="J840" t="str" cm="1">
        <f t="array" ref="J840">_xlfn.IFS(
AND(I840&gt;=89,I840&lt;=92),"D-90",
AND(I840&gt;=58,I840&lt;=62),"D-60",
AND(I840&gt;=28,I840&lt;=32),"D-30",
AND(I840=0),"당월",
TRUE,"그외")</f>
        <v>그외</v>
      </c>
    </row>
    <row r="841" spans="1:10" ht="17.649999999999999" customHeight="1" x14ac:dyDescent="0.3">
      <c r="A841" s="4">
        <v>46054</v>
      </c>
      <c r="B841" s="5" t="s">
        <v>8</v>
      </c>
      <c r="C841" s="4">
        <v>45962</v>
      </c>
      <c r="D841" s="5" t="s">
        <v>9</v>
      </c>
      <c r="E841" s="6">
        <v>169</v>
      </c>
      <c r="F841" s="6">
        <v>254646.74556213021</v>
      </c>
      <c r="G841" s="6">
        <v>43035300</v>
      </c>
      <c r="H841" s="6">
        <v>4512300</v>
      </c>
      <c r="I841" s="6">
        <f t="shared" si="13"/>
        <v>92</v>
      </c>
      <c r="J841" t="str" cm="1">
        <f t="array" ref="J841">_xlfn.IFS(
AND(I841&gt;=89,I841&lt;=92),"D-90",
AND(I841&gt;=58,I841&lt;=62),"D-60",
AND(I841&gt;=28,I841&lt;=32),"D-30",
AND(I841=0),"당월",
TRUE,"그외")</f>
        <v>D-90</v>
      </c>
    </row>
    <row r="842" spans="1:10" ht="17.649999999999999" customHeight="1" x14ac:dyDescent="0.3">
      <c r="A842" s="4">
        <v>46054</v>
      </c>
      <c r="B842" s="5" t="s">
        <v>8</v>
      </c>
      <c r="C842" s="4">
        <v>45962</v>
      </c>
      <c r="D842" s="5" t="s">
        <v>10</v>
      </c>
      <c r="E842" s="6">
        <v>1361</v>
      </c>
      <c r="F842" s="6">
        <v>295845.75753122702</v>
      </c>
      <c r="G842" s="6">
        <v>402646076</v>
      </c>
      <c r="H842" s="6">
        <v>36168484</v>
      </c>
      <c r="I842" s="6">
        <f t="shared" si="13"/>
        <v>92</v>
      </c>
      <c r="J842" t="str" cm="1">
        <f t="array" ref="J842">_xlfn.IFS(
AND(I842&gt;=89,I842&lt;=92),"D-90",
AND(I842&gt;=58,I842&lt;=62),"D-60",
AND(I842&gt;=28,I842&lt;=32),"D-30",
AND(I842=0),"당월",
TRUE,"그외")</f>
        <v>D-90</v>
      </c>
    </row>
    <row r="843" spans="1:10" ht="17.649999999999999" customHeight="1" x14ac:dyDescent="0.3">
      <c r="A843" s="4">
        <v>46054</v>
      </c>
      <c r="B843" s="5" t="s">
        <v>8</v>
      </c>
      <c r="C843" s="4">
        <v>45992</v>
      </c>
      <c r="D843" s="5" t="s">
        <v>9</v>
      </c>
      <c r="E843" s="6">
        <v>312</v>
      </c>
      <c r="F843" s="6">
        <v>425323.07692307688</v>
      </c>
      <c r="G843" s="6">
        <v>132700800</v>
      </c>
      <c r="H843" s="6">
        <v>9636800</v>
      </c>
      <c r="I843" s="6">
        <f t="shared" si="13"/>
        <v>62</v>
      </c>
      <c r="J843" t="str" cm="1">
        <f t="array" ref="J843">_xlfn.IFS(
AND(I843&gt;=89,I843&lt;=92),"D-90",
AND(I843&gt;=58,I843&lt;=62),"D-60",
AND(I843&gt;=28,I843&lt;=32),"D-30",
AND(I843=0),"당월",
TRUE,"그외")</f>
        <v>D-60</v>
      </c>
    </row>
    <row r="844" spans="1:10" ht="17.649999999999999" customHeight="1" x14ac:dyDescent="0.3">
      <c r="A844" s="4">
        <v>46054</v>
      </c>
      <c r="B844" s="5" t="s">
        <v>8</v>
      </c>
      <c r="C844" s="4">
        <v>45992</v>
      </c>
      <c r="D844" s="5" t="s">
        <v>10</v>
      </c>
      <c r="E844" s="6">
        <v>3616</v>
      </c>
      <c r="F844" s="6">
        <v>246532.99861725661</v>
      </c>
      <c r="G844" s="6">
        <v>891463323</v>
      </c>
      <c r="H844" s="6">
        <v>113799313</v>
      </c>
      <c r="I844" s="6">
        <f t="shared" si="13"/>
        <v>62</v>
      </c>
      <c r="J844" t="str" cm="1">
        <f t="array" ref="J844">_xlfn.IFS(
AND(I844&gt;=89,I844&lt;=92),"D-90",
AND(I844&gt;=58,I844&lt;=62),"D-60",
AND(I844&gt;=28,I844&lt;=32),"D-30",
AND(I844=0),"당월",
TRUE,"그외")</f>
        <v>D-60</v>
      </c>
    </row>
    <row r="845" spans="1:10" ht="17.649999999999999" customHeight="1" x14ac:dyDescent="0.3">
      <c r="A845" s="4">
        <v>46054</v>
      </c>
      <c r="B845" s="5" t="s">
        <v>8</v>
      </c>
      <c r="C845" s="4">
        <v>46023</v>
      </c>
      <c r="D845" s="5" t="s">
        <v>9</v>
      </c>
      <c r="E845" s="6">
        <v>1371</v>
      </c>
      <c r="F845" s="6">
        <v>568175.85703865788</v>
      </c>
      <c r="G845" s="6">
        <v>778969100</v>
      </c>
      <c r="H845" s="6">
        <v>40924100</v>
      </c>
      <c r="I845" s="6">
        <f t="shared" si="13"/>
        <v>31</v>
      </c>
      <c r="J845" t="str" cm="1">
        <f t="array" ref="J845">_xlfn.IFS(
AND(I845&gt;=89,I845&lt;=92),"D-90",
AND(I845&gt;=58,I845&lt;=62),"D-60",
AND(I845&gt;=28,I845&lt;=32),"D-30",
AND(I845=0),"당월",
TRUE,"그외")</f>
        <v>D-30</v>
      </c>
    </row>
    <row r="846" spans="1:10" ht="17.649999999999999" customHeight="1" x14ac:dyDescent="0.3">
      <c r="A846" s="4">
        <v>46054</v>
      </c>
      <c r="B846" s="5" t="s">
        <v>8</v>
      </c>
      <c r="C846" s="4">
        <v>46023</v>
      </c>
      <c r="D846" s="5" t="s">
        <v>10</v>
      </c>
      <c r="E846" s="6">
        <v>6092</v>
      </c>
      <c r="F846" s="6">
        <v>224529.70994747209</v>
      </c>
      <c r="G846" s="6">
        <v>1367834993</v>
      </c>
      <c r="H846" s="6">
        <v>195875208</v>
      </c>
      <c r="I846" s="6">
        <f t="shared" si="13"/>
        <v>31</v>
      </c>
      <c r="J846" t="str" cm="1">
        <f t="array" ref="J846">_xlfn.IFS(
AND(I846&gt;=89,I846&lt;=92),"D-90",
AND(I846&gt;=58,I846&lt;=62),"D-60",
AND(I846&gt;=28,I846&lt;=32),"D-30",
AND(I846=0),"당월",
TRUE,"그외")</f>
        <v>D-30</v>
      </c>
    </row>
    <row r="847" spans="1:10" ht="17.649999999999999" customHeight="1" x14ac:dyDescent="0.3">
      <c r="A847" s="4">
        <v>46054</v>
      </c>
      <c r="B847" s="5" t="s">
        <v>8</v>
      </c>
      <c r="C847" s="4">
        <v>46054</v>
      </c>
      <c r="D847" s="5" t="s">
        <v>9</v>
      </c>
      <c r="E847" s="6">
        <v>2236</v>
      </c>
      <c r="F847" s="6">
        <v>32536.046511627908</v>
      </c>
      <c r="G847" s="6">
        <v>72750600</v>
      </c>
      <c r="H847" s="6">
        <v>49212600</v>
      </c>
      <c r="I847" s="6">
        <f t="shared" si="13"/>
        <v>0</v>
      </c>
      <c r="J847" t="str" cm="1">
        <f t="array" ref="J847">_xlfn.IFS(
AND(I847&gt;=89,I847&lt;=92),"D-90",
AND(I847&gt;=58,I847&lt;=62),"D-60",
AND(I847&gt;=28,I847&lt;=32),"D-30",
AND(I847=0),"당월",
TRUE,"그외")</f>
        <v>당월</v>
      </c>
    </row>
    <row r="848" spans="1:10" ht="17.649999999999999" customHeight="1" x14ac:dyDescent="0.3">
      <c r="A848" s="4">
        <v>46054</v>
      </c>
      <c r="B848" s="5" t="s">
        <v>8</v>
      </c>
      <c r="C848" s="4">
        <v>46054</v>
      </c>
      <c r="D848" s="5" t="s">
        <v>10</v>
      </c>
      <c r="E848" s="6">
        <v>1520</v>
      </c>
      <c r="F848" s="6">
        <v>249894.2427631579</v>
      </c>
      <c r="G848" s="6">
        <v>379839249</v>
      </c>
      <c r="H848" s="6">
        <v>35413810</v>
      </c>
      <c r="I848" s="6">
        <f t="shared" si="13"/>
        <v>0</v>
      </c>
      <c r="J848" t="str" cm="1">
        <f t="array" ref="J848">_xlfn.IFS(
AND(I848&gt;=89,I848&lt;=92),"D-90",
AND(I848&gt;=58,I848&lt;=62),"D-60",
AND(I848&gt;=28,I848&lt;=32),"D-30",
AND(I848=0),"당월",
TRUE,"그외")</f>
        <v>당월</v>
      </c>
    </row>
    <row r="849" spans="1:10" ht="17.649999999999999" customHeight="1" x14ac:dyDescent="0.3">
      <c r="A849" s="4">
        <v>46054</v>
      </c>
      <c r="B849" s="5" t="s">
        <v>11</v>
      </c>
      <c r="C849" s="4">
        <v>45839</v>
      </c>
      <c r="D849" s="5" t="s">
        <v>10</v>
      </c>
      <c r="E849" s="6">
        <v>75</v>
      </c>
      <c r="F849" s="6">
        <v>261425.33333333331</v>
      </c>
      <c r="G849" s="6">
        <v>19606900</v>
      </c>
      <c r="H849" s="6">
        <v>1237500</v>
      </c>
      <c r="I849" s="6">
        <f t="shared" si="13"/>
        <v>215</v>
      </c>
      <c r="J849" t="str" cm="1">
        <f t="array" ref="J849">_xlfn.IFS(
AND(I849&gt;=89,I849&lt;=92),"D-90",
AND(I849&gt;=58,I849&lt;=62),"D-60",
AND(I849&gt;=28,I849&lt;=32),"D-30",
AND(I849=0),"당월",
TRUE,"그외")</f>
        <v>그외</v>
      </c>
    </row>
    <row r="850" spans="1:10" ht="17.649999999999999" customHeight="1" x14ac:dyDescent="0.3">
      <c r="A850" s="4">
        <v>46054</v>
      </c>
      <c r="B850" s="5" t="s">
        <v>11</v>
      </c>
      <c r="C850" s="4">
        <v>45870</v>
      </c>
      <c r="D850" s="5" t="s">
        <v>10</v>
      </c>
      <c r="E850" s="6">
        <v>252</v>
      </c>
      <c r="F850" s="6">
        <v>307805.95238095243</v>
      </c>
      <c r="G850" s="6">
        <v>77567100</v>
      </c>
      <c r="H850" s="6">
        <v>6552000</v>
      </c>
      <c r="I850" s="6">
        <f t="shared" si="13"/>
        <v>184</v>
      </c>
      <c r="J850" t="str" cm="1">
        <f t="array" ref="J850">_xlfn.IFS(
AND(I850&gt;=89,I850&lt;=92),"D-90",
AND(I850&gt;=58,I850&lt;=62),"D-60",
AND(I850&gt;=28,I850&lt;=32),"D-30",
AND(I850=0),"당월",
TRUE,"그외")</f>
        <v>그외</v>
      </c>
    </row>
    <row r="851" spans="1:10" ht="17.649999999999999" customHeight="1" x14ac:dyDescent="0.3">
      <c r="A851" s="4">
        <v>46054</v>
      </c>
      <c r="B851" s="5" t="s">
        <v>11</v>
      </c>
      <c r="C851" s="4">
        <v>45901</v>
      </c>
      <c r="D851" s="5" t="s">
        <v>9</v>
      </c>
      <c r="E851" s="6">
        <v>44</v>
      </c>
      <c r="F851" s="6">
        <v>230481.81818181821</v>
      </c>
      <c r="G851" s="6">
        <v>10141200</v>
      </c>
      <c r="H851" s="6">
        <v>1157200</v>
      </c>
      <c r="I851" s="6">
        <f t="shared" si="13"/>
        <v>153</v>
      </c>
      <c r="J851" t="str" cm="1">
        <f t="array" ref="J851">_xlfn.IFS(
AND(I851&gt;=89,I851&lt;=92),"D-90",
AND(I851&gt;=58,I851&lt;=62),"D-60",
AND(I851&gt;=28,I851&lt;=32),"D-30",
AND(I851=0),"당월",
TRUE,"그외")</f>
        <v>그외</v>
      </c>
    </row>
    <row r="852" spans="1:10" ht="17.649999999999999" customHeight="1" x14ac:dyDescent="0.3">
      <c r="A852" s="4">
        <v>46054</v>
      </c>
      <c r="B852" s="5" t="s">
        <v>11</v>
      </c>
      <c r="C852" s="4">
        <v>45901</v>
      </c>
      <c r="D852" s="5" t="s">
        <v>10</v>
      </c>
      <c r="E852" s="6">
        <v>352</v>
      </c>
      <c r="F852" s="6">
        <v>287843.30681818182</v>
      </c>
      <c r="G852" s="6">
        <v>101320844</v>
      </c>
      <c r="H852" s="6">
        <v>9288508</v>
      </c>
      <c r="I852" s="6">
        <f t="shared" si="13"/>
        <v>153</v>
      </c>
      <c r="J852" t="str" cm="1">
        <f t="array" ref="J852">_xlfn.IFS(
AND(I852&gt;=89,I852&lt;=92),"D-90",
AND(I852&gt;=58,I852&lt;=62),"D-60",
AND(I852&gt;=28,I852&lt;=32),"D-30",
AND(I852=0),"당월",
TRUE,"그외")</f>
        <v>그외</v>
      </c>
    </row>
    <row r="853" spans="1:10" ht="17.649999999999999" customHeight="1" x14ac:dyDescent="0.3">
      <c r="A853" s="4">
        <v>46054</v>
      </c>
      <c r="B853" s="5" t="s">
        <v>11</v>
      </c>
      <c r="C853" s="4">
        <v>45931</v>
      </c>
      <c r="D853" s="5" t="s">
        <v>9</v>
      </c>
      <c r="E853" s="6">
        <v>66</v>
      </c>
      <c r="F853" s="6">
        <v>247460.60606060599</v>
      </c>
      <c r="G853" s="6">
        <v>16332400</v>
      </c>
      <c r="H853" s="6">
        <v>1742400</v>
      </c>
      <c r="I853" s="6">
        <f t="shared" si="13"/>
        <v>123</v>
      </c>
      <c r="J853" t="str" cm="1">
        <f t="array" ref="J853">_xlfn.IFS(
AND(I853&gt;=89,I853&lt;=92),"D-90",
AND(I853&gt;=58,I853&lt;=62),"D-60",
AND(I853&gt;=28,I853&lt;=32),"D-30",
AND(I853=0),"당월",
TRUE,"그외")</f>
        <v>그외</v>
      </c>
    </row>
    <row r="854" spans="1:10" ht="17.649999999999999" customHeight="1" x14ac:dyDescent="0.3">
      <c r="A854" s="4">
        <v>46054</v>
      </c>
      <c r="B854" s="5" t="s">
        <v>11</v>
      </c>
      <c r="C854" s="4">
        <v>45931</v>
      </c>
      <c r="D854" s="5" t="s">
        <v>10</v>
      </c>
      <c r="E854" s="6">
        <v>703</v>
      </c>
      <c r="F854" s="6">
        <v>299140.00426742528</v>
      </c>
      <c r="G854" s="6">
        <v>210295423</v>
      </c>
      <c r="H854" s="6">
        <v>18591033</v>
      </c>
      <c r="I854" s="6">
        <f t="shared" si="13"/>
        <v>123</v>
      </c>
      <c r="J854" t="str" cm="1">
        <f t="array" ref="J854">_xlfn.IFS(
AND(I854&gt;=89,I854&lt;=92),"D-90",
AND(I854&gt;=58,I854&lt;=62),"D-60",
AND(I854&gt;=28,I854&lt;=32),"D-30",
AND(I854=0),"당월",
TRUE,"그외")</f>
        <v>그외</v>
      </c>
    </row>
    <row r="855" spans="1:10" ht="17.649999999999999" customHeight="1" x14ac:dyDescent="0.3">
      <c r="A855" s="4">
        <v>46054</v>
      </c>
      <c r="B855" s="5" t="s">
        <v>11</v>
      </c>
      <c r="C855" s="4">
        <v>45962</v>
      </c>
      <c r="D855" s="5" t="s">
        <v>9</v>
      </c>
      <c r="E855" s="6">
        <v>310</v>
      </c>
      <c r="F855" s="6">
        <v>272661.29032258072</v>
      </c>
      <c r="G855" s="6">
        <v>84525000</v>
      </c>
      <c r="H855" s="6">
        <v>8277000</v>
      </c>
      <c r="I855" s="6">
        <f t="shared" si="13"/>
        <v>92</v>
      </c>
      <c r="J855" t="str" cm="1">
        <f t="array" ref="J855">_xlfn.IFS(
AND(I855&gt;=89,I855&lt;=92),"D-90",
AND(I855&gt;=58,I855&lt;=62),"D-60",
AND(I855&gt;=28,I855&lt;=32),"D-30",
AND(I855=0),"당월",
TRUE,"그외")</f>
        <v>D-90</v>
      </c>
    </row>
    <row r="856" spans="1:10" ht="17.649999999999999" customHeight="1" x14ac:dyDescent="0.3">
      <c r="A856" s="4">
        <v>46054</v>
      </c>
      <c r="B856" s="5" t="s">
        <v>11</v>
      </c>
      <c r="C856" s="4">
        <v>45962</v>
      </c>
      <c r="D856" s="5" t="s">
        <v>10</v>
      </c>
      <c r="E856" s="6">
        <v>1163</v>
      </c>
      <c r="F856" s="6">
        <v>281350.76268271712</v>
      </c>
      <c r="G856" s="6">
        <v>327210937</v>
      </c>
      <c r="H856" s="6">
        <v>31063155</v>
      </c>
      <c r="I856" s="6">
        <f t="shared" si="13"/>
        <v>92</v>
      </c>
      <c r="J856" t="str" cm="1">
        <f t="array" ref="J856">_xlfn.IFS(
AND(I856&gt;=89,I856&lt;=92),"D-90",
AND(I856&gt;=58,I856&lt;=62),"D-60",
AND(I856&gt;=28,I856&lt;=32),"D-30",
AND(I856=0),"당월",
TRUE,"그외")</f>
        <v>D-90</v>
      </c>
    </row>
    <row r="857" spans="1:10" ht="17.649999999999999" customHeight="1" x14ac:dyDescent="0.3">
      <c r="A857" s="4">
        <v>46054</v>
      </c>
      <c r="B857" s="5" t="s">
        <v>11</v>
      </c>
      <c r="C857" s="4">
        <v>45992</v>
      </c>
      <c r="D857" s="5" t="s">
        <v>9</v>
      </c>
      <c r="E857" s="6">
        <v>455</v>
      </c>
      <c r="F857" s="6">
        <v>239878.02197802201</v>
      </c>
      <c r="G857" s="6">
        <v>109144500</v>
      </c>
      <c r="H857" s="6">
        <v>14423500</v>
      </c>
      <c r="I857" s="6">
        <f t="shared" si="13"/>
        <v>62</v>
      </c>
      <c r="J857" t="str" cm="1">
        <f t="array" ref="J857">_xlfn.IFS(
AND(I857&gt;=89,I857&lt;=92),"D-90",
AND(I857&gt;=58,I857&lt;=62),"D-60",
AND(I857&gt;=28,I857&lt;=32),"D-30",
AND(I857=0),"당월",
TRUE,"그외")</f>
        <v>D-60</v>
      </c>
    </row>
    <row r="858" spans="1:10" ht="17.649999999999999" customHeight="1" x14ac:dyDescent="0.3">
      <c r="A858" s="4">
        <v>46054</v>
      </c>
      <c r="B858" s="5" t="s">
        <v>11</v>
      </c>
      <c r="C858" s="4">
        <v>45992</v>
      </c>
      <c r="D858" s="5" t="s">
        <v>10</v>
      </c>
      <c r="E858" s="6">
        <v>1961</v>
      </c>
      <c r="F858" s="6">
        <v>261778.02651708311</v>
      </c>
      <c r="G858" s="6">
        <v>513346710</v>
      </c>
      <c r="H858" s="6">
        <v>62221256</v>
      </c>
      <c r="I858" s="6">
        <f t="shared" si="13"/>
        <v>62</v>
      </c>
      <c r="J858" t="str" cm="1">
        <f t="array" ref="J858">_xlfn.IFS(
AND(I858&gt;=89,I858&lt;=92),"D-90",
AND(I858&gt;=58,I858&lt;=62),"D-60",
AND(I858&gt;=28,I858&lt;=32),"D-30",
AND(I858=0),"당월",
TRUE,"그외")</f>
        <v>D-60</v>
      </c>
    </row>
    <row r="859" spans="1:10" ht="17.649999999999999" customHeight="1" x14ac:dyDescent="0.3">
      <c r="A859" s="4">
        <v>46054</v>
      </c>
      <c r="B859" s="5" t="s">
        <v>11</v>
      </c>
      <c r="C859" s="4">
        <v>46023</v>
      </c>
      <c r="D859" s="5" t="s">
        <v>9</v>
      </c>
      <c r="E859" s="6">
        <v>1302</v>
      </c>
      <c r="F859" s="6">
        <v>233030.03072196621</v>
      </c>
      <c r="G859" s="6">
        <v>303405100</v>
      </c>
      <c r="H859" s="6">
        <v>42019100</v>
      </c>
      <c r="I859" s="6">
        <f t="shared" si="13"/>
        <v>31</v>
      </c>
      <c r="J859" t="str" cm="1">
        <f t="array" ref="J859">_xlfn.IFS(
AND(I859&gt;=89,I859&lt;=92),"D-90",
AND(I859&gt;=58,I859&lt;=62),"D-60",
AND(I859&gt;=28,I859&lt;=32),"D-30",
AND(I859=0),"당월",
TRUE,"그외")</f>
        <v>D-30</v>
      </c>
    </row>
    <row r="860" spans="1:10" ht="17.649999999999999" customHeight="1" x14ac:dyDescent="0.3">
      <c r="A860" s="4">
        <v>46054</v>
      </c>
      <c r="B860" s="5" t="s">
        <v>11</v>
      </c>
      <c r="C860" s="4">
        <v>46023</v>
      </c>
      <c r="D860" s="5" t="s">
        <v>10</v>
      </c>
      <c r="E860" s="6">
        <v>2529</v>
      </c>
      <c r="F860" s="6">
        <v>252341.40608936339</v>
      </c>
      <c r="G860" s="6">
        <v>638171416</v>
      </c>
      <c r="H860" s="6">
        <v>81660245</v>
      </c>
      <c r="I860" s="6">
        <f t="shared" si="13"/>
        <v>31</v>
      </c>
      <c r="J860" t="str" cm="1">
        <f t="array" ref="J860">_xlfn.IFS(
AND(I860&gt;=89,I860&lt;=92),"D-90",
AND(I860&gt;=58,I860&lt;=62),"D-60",
AND(I860&gt;=28,I860&lt;=32),"D-30",
AND(I860=0),"당월",
TRUE,"그외")</f>
        <v>D-30</v>
      </c>
    </row>
    <row r="861" spans="1:10" ht="17.649999999999999" customHeight="1" x14ac:dyDescent="0.3">
      <c r="A861" s="4">
        <v>46054</v>
      </c>
      <c r="B861" s="5" t="s">
        <v>11</v>
      </c>
      <c r="C861" s="4">
        <v>46054</v>
      </c>
      <c r="D861" s="5" t="s">
        <v>9</v>
      </c>
      <c r="E861" s="6">
        <v>82</v>
      </c>
      <c r="F861" s="6">
        <v>250170.73170731711</v>
      </c>
      <c r="G861" s="6">
        <v>20514000</v>
      </c>
      <c r="H861" s="6">
        <v>1884000</v>
      </c>
      <c r="I861" s="6">
        <f t="shared" si="13"/>
        <v>0</v>
      </c>
      <c r="J861" t="str" cm="1">
        <f t="array" ref="J861">_xlfn.IFS(
AND(I861&gt;=89,I861&lt;=92),"D-90",
AND(I861&gt;=58,I861&lt;=62),"D-60",
AND(I861&gt;=28,I861&lt;=32),"D-30",
AND(I861=0),"당월",
TRUE,"그외")</f>
        <v>당월</v>
      </c>
    </row>
    <row r="862" spans="1:10" ht="17.649999999999999" customHeight="1" x14ac:dyDescent="0.3">
      <c r="A862" s="4">
        <v>46054</v>
      </c>
      <c r="B862" s="5" t="s">
        <v>11</v>
      </c>
      <c r="C862" s="4">
        <v>46054</v>
      </c>
      <c r="D862" s="5" t="s">
        <v>10</v>
      </c>
      <c r="E862" s="6">
        <v>464</v>
      </c>
      <c r="F862" s="6">
        <v>261942.0150862069</v>
      </c>
      <c r="G862" s="6">
        <v>121541095</v>
      </c>
      <c r="H862" s="6">
        <v>10774078</v>
      </c>
      <c r="I862" s="6">
        <f t="shared" si="13"/>
        <v>0</v>
      </c>
      <c r="J862" t="str" cm="1">
        <f t="array" ref="J862">_xlfn.IFS(
AND(I862&gt;=89,I862&lt;=92),"D-90",
AND(I862&gt;=58,I862&lt;=62),"D-60",
AND(I862&gt;=28,I862&lt;=32),"D-30",
AND(I862=0),"당월",
TRUE,"그외")</f>
        <v>당월</v>
      </c>
    </row>
    <row r="863" spans="1:10" ht="17.649999999999999" customHeight="1" x14ac:dyDescent="0.3">
      <c r="A863" s="4">
        <v>46054</v>
      </c>
      <c r="B863" s="5" t="s">
        <v>12</v>
      </c>
      <c r="C863" s="4">
        <v>45870</v>
      </c>
      <c r="D863" s="5" t="s">
        <v>10</v>
      </c>
      <c r="E863" s="6">
        <v>2</v>
      </c>
      <c r="F863" s="6">
        <v>317000</v>
      </c>
      <c r="G863" s="6">
        <v>634000</v>
      </c>
      <c r="H863" s="6">
        <v>52000</v>
      </c>
      <c r="I863" s="6">
        <f t="shared" si="13"/>
        <v>184</v>
      </c>
      <c r="J863" t="str" cm="1">
        <f t="array" ref="J863">_xlfn.IFS(
AND(I863&gt;=89,I863&lt;=92),"D-90",
AND(I863&gt;=58,I863&lt;=62),"D-60",
AND(I863&gt;=28,I863&lt;=32),"D-30",
AND(I863=0),"당월",
TRUE,"그외")</f>
        <v>그외</v>
      </c>
    </row>
    <row r="864" spans="1:10" ht="17.649999999999999" customHeight="1" x14ac:dyDescent="0.3">
      <c r="A864" s="4">
        <v>46054</v>
      </c>
      <c r="B864" s="5" t="s">
        <v>12</v>
      </c>
      <c r="C864" s="4">
        <v>45901</v>
      </c>
      <c r="D864" s="5" t="s">
        <v>10</v>
      </c>
      <c r="E864" s="6">
        <v>51</v>
      </c>
      <c r="F864" s="6">
        <v>238143.13725490199</v>
      </c>
      <c r="G864" s="6">
        <v>12145300</v>
      </c>
      <c r="H864" s="6">
        <v>1341300</v>
      </c>
      <c r="I864" s="6">
        <f t="shared" si="13"/>
        <v>153</v>
      </c>
      <c r="J864" t="str" cm="1">
        <f t="array" ref="J864">_xlfn.IFS(
AND(I864&gt;=89,I864&lt;=92),"D-90",
AND(I864&gt;=58,I864&lt;=62),"D-60",
AND(I864&gt;=28,I864&lt;=32),"D-30",
AND(I864=0),"당월",
TRUE,"그외")</f>
        <v>그외</v>
      </c>
    </row>
    <row r="865" spans="1:10" ht="17.649999999999999" customHeight="1" x14ac:dyDescent="0.3">
      <c r="A865" s="4">
        <v>46054</v>
      </c>
      <c r="B865" s="5" t="s">
        <v>12</v>
      </c>
      <c r="C865" s="4">
        <v>45931</v>
      </c>
      <c r="D865" s="5" t="s">
        <v>10</v>
      </c>
      <c r="E865" s="6">
        <v>177</v>
      </c>
      <c r="F865" s="6">
        <v>273514.9152542373</v>
      </c>
      <c r="G865" s="6">
        <v>48412140</v>
      </c>
      <c r="H865" s="6">
        <v>4717258</v>
      </c>
      <c r="I865" s="6">
        <f t="shared" si="13"/>
        <v>123</v>
      </c>
      <c r="J865" t="str" cm="1">
        <f t="array" ref="J865">_xlfn.IFS(
AND(I865&gt;=89,I865&lt;=92),"D-90",
AND(I865&gt;=58,I865&lt;=62),"D-60",
AND(I865&gt;=28,I865&lt;=32),"D-30",
AND(I865=0),"당월",
TRUE,"그외")</f>
        <v>그외</v>
      </c>
    </row>
    <row r="866" spans="1:10" ht="17.649999999999999" customHeight="1" x14ac:dyDescent="0.3">
      <c r="A866" s="4">
        <v>46054</v>
      </c>
      <c r="B866" s="5" t="s">
        <v>12</v>
      </c>
      <c r="C866" s="4">
        <v>45962</v>
      </c>
      <c r="D866" s="5" t="s">
        <v>9</v>
      </c>
      <c r="E866" s="6">
        <v>72</v>
      </c>
      <c r="F866" s="6">
        <v>259977.77777777781</v>
      </c>
      <c r="G866" s="6">
        <v>18718400</v>
      </c>
      <c r="H866" s="6">
        <v>1922400</v>
      </c>
      <c r="I866" s="6">
        <f t="shared" si="13"/>
        <v>92</v>
      </c>
      <c r="J866" t="str" cm="1">
        <f t="array" ref="J866">_xlfn.IFS(
AND(I866&gt;=89,I866&lt;=92),"D-90",
AND(I866&gt;=58,I866&lt;=62),"D-60",
AND(I866&gt;=28,I866&lt;=32),"D-30",
AND(I866=0),"당월",
TRUE,"그외")</f>
        <v>D-90</v>
      </c>
    </row>
    <row r="867" spans="1:10" ht="17.649999999999999" customHeight="1" x14ac:dyDescent="0.3">
      <c r="A867" s="4">
        <v>46054</v>
      </c>
      <c r="B867" s="5" t="s">
        <v>12</v>
      </c>
      <c r="C867" s="4">
        <v>45962</v>
      </c>
      <c r="D867" s="5" t="s">
        <v>10</v>
      </c>
      <c r="E867" s="6">
        <v>326</v>
      </c>
      <c r="F867" s="6">
        <v>312623.54294478532</v>
      </c>
      <c r="G867" s="6">
        <v>101915275</v>
      </c>
      <c r="H867" s="6">
        <v>8771880</v>
      </c>
      <c r="I867" s="6">
        <f t="shared" si="13"/>
        <v>92</v>
      </c>
      <c r="J867" t="str" cm="1">
        <f t="array" ref="J867">_xlfn.IFS(
AND(I867&gt;=89,I867&lt;=92),"D-90",
AND(I867&gt;=58,I867&lt;=62),"D-60",
AND(I867&gt;=28,I867&lt;=32),"D-30",
AND(I867=0),"당월",
TRUE,"그외")</f>
        <v>D-90</v>
      </c>
    </row>
    <row r="868" spans="1:10" ht="17.649999999999999" customHeight="1" x14ac:dyDescent="0.3">
      <c r="A868" s="4">
        <v>46054</v>
      </c>
      <c r="B868" s="5" t="s">
        <v>12</v>
      </c>
      <c r="C868" s="4">
        <v>45992</v>
      </c>
      <c r="D868" s="5" t="s">
        <v>9</v>
      </c>
      <c r="E868" s="6">
        <v>288</v>
      </c>
      <c r="F868" s="6">
        <v>293276.38888888888</v>
      </c>
      <c r="G868" s="6">
        <v>84463600</v>
      </c>
      <c r="H868" s="6">
        <v>9129600</v>
      </c>
      <c r="I868" s="6">
        <f t="shared" si="13"/>
        <v>62</v>
      </c>
      <c r="J868" t="str" cm="1">
        <f t="array" ref="J868">_xlfn.IFS(
AND(I868&gt;=89,I868&lt;=92),"D-90",
AND(I868&gt;=58,I868&lt;=62),"D-60",
AND(I868&gt;=28,I868&lt;=32),"D-30",
AND(I868=0),"당월",
TRUE,"그외")</f>
        <v>D-60</v>
      </c>
    </row>
    <row r="869" spans="1:10" ht="17.649999999999999" customHeight="1" x14ac:dyDescent="0.3">
      <c r="A869" s="4">
        <v>46054</v>
      </c>
      <c r="B869" s="5" t="s">
        <v>12</v>
      </c>
      <c r="C869" s="4">
        <v>45992</v>
      </c>
      <c r="D869" s="5" t="s">
        <v>10</v>
      </c>
      <c r="E869" s="6">
        <v>662</v>
      </c>
      <c r="F869" s="6">
        <v>221232.56646525679</v>
      </c>
      <c r="G869" s="6">
        <v>146455959</v>
      </c>
      <c r="H869" s="6">
        <v>20981198</v>
      </c>
      <c r="I869" s="6">
        <f t="shared" si="13"/>
        <v>62</v>
      </c>
      <c r="J869" t="str" cm="1">
        <f t="array" ref="J869">_xlfn.IFS(
AND(I869&gt;=89,I869&lt;=92),"D-90",
AND(I869&gt;=58,I869&lt;=62),"D-60",
AND(I869&gt;=28,I869&lt;=32),"D-30",
AND(I869=0),"당월",
TRUE,"그외")</f>
        <v>D-60</v>
      </c>
    </row>
    <row r="870" spans="1:10" ht="17.649999999999999" customHeight="1" x14ac:dyDescent="0.3">
      <c r="A870" s="4">
        <v>46054</v>
      </c>
      <c r="B870" s="5" t="s">
        <v>12</v>
      </c>
      <c r="C870" s="4">
        <v>46023</v>
      </c>
      <c r="D870" s="5" t="s">
        <v>9</v>
      </c>
      <c r="E870" s="6">
        <v>1494</v>
      </c>
      <c r="F870" s="6">
        <v>179188.35341365461</v>
      </c>
      <c r="G870" s="6">
        <v>267707400</v>
      </c>
      <c r="H870" s="6">
        <v>48254400</v>
      </c>
      <c r="I870" s="6">
        <f t="shared" si="13"/>
        <v>31</v>
      </c>
      <c r="J870" t="str" cm="1">
        <f t="array" ref="J870">_xlfn.IFS(
AND(I870&gt;=89,I870&lt;=92),"D-90",
AND(I870&gt;=58,I870&lt;=62),"D-60",
AND(I870&gt;=28,I870&lt;=32),"D-30",
AND(I870=0),"당월",
TRUE,"그외")</f>
        <v>D-30</v>
      </c>
    </row>
    <row r="871" spans="1:10" ht="17.649999999999999" customHeight="1" x14ac:dyDescent="0.3">
      <c r="A871" s="4">
        <v>46054</v>
      </c>
      <c r="B871" s="5" t="s">
        <v>12</v>
      </c>
      <c r="C871" s="4">
        <v>46023</v>
      </c>
      <c r="D871" s="5" t="s">
        <v>10</v>
      </c>
      <c r="E871" s="6">
        <v>4327</v>
      </c>
      <c r="F871" s="6">
        <v>201673.80494568989</v>
      </c>
      <c r="G871" s="6">
        <v>872642554</v>
      </c>
      <c r="H871" s="6">
        <v>141977592</v>
      </c>
      <c r="I871" s="6">
        <f t="shared" si="13"/>
        <v>31</v>
      </c>
      <c r="J871" t="str" cm="1">
        <f t="array" ref="J871">_xlfn.IFS(
AND(I871&gt;=89,I871&lt;=92),"D-90",
AND(I871&gt;=58,I871&lt;=62),"D-60",
AND(I871&gt;=28,I871&lt;=32),"D-30",
AND(I871=0),"당월",
TRUE,"그외")</f>
        <v>D-30</v>
      </c>
    </row>
    <row r="872" spans="1:10" ht="17.649999999999999" customHeight="1" x14ac:dyDescent="0.3">
      <c r="A872" s="4">
        <v>46054</v>
      </c>
      <c r="B872" s="5" t="s">
        <v>12</v>
      </c>
      <c r="C872" s="4">
        <v>46054</v>
      </c>
      <c r="D872" s="5" t="s">
        <v>9</v>
      </c>
      <c r="E872" s="6">
        <v>1682</v>
      </c>
      <c r="F872" s="6">
        <v>178367.18192627831</v>
      </c>
      <c r="G872" s="6">
        <v>300013600</v>
      </c>
      <c r="H872" s="6">
        <v>37234600</v>
      </c>
      <c r="I872" s="6">
        <f t="shared" si="13"/>
        <v>0</v>
      </c>
      <c r="J872" t="str" cm="1">
        <f t="array" ref="J872">_xlfn.IFS(
AND(I872&gt;=89,I872&lt;=92),"D-90",
AND(I872&gt;=58,I872&lt;=62),"D-60",
AND(I872&gt;=28,I872&lt;=32),"D-30",
AND(I872=0),"당월",
TRUE,"그외")</f>
        <v>당월</v>
      </c>
    </row>
    <row r="873" spans="1:10" ht="17.649999999999999" customHeight="1" x14ac:dyDescent="0.3">
      <c r="A873" s="4">
        <v>46054</v>
      </c>
      <c r="B873" s="5" t="s">
        <v>12</v>
      </c>
      <c r="C873" s="4">
        <v>46054</v>
      </c>
      <c r="D873" s="5" t="s">
        <v>10</v>
      </c>
      <c r="E873" s="6">
        <v>906</v>
      </c>
      <c r="F873" s="6">
        <v>256373.70529801329</v>
      </c>
      <c r="G873" s="6">
        <v>232274577</v>
      </c>
      <c r="H873" s="6">
        <v>21749345</v>
      </c>
      <c r="I873" s="6">
        <f t="shared" si="13"/>
        <v>0</v>
      </c>
      <c r="J873" t="str" cm="1">
        <f t="array" ref="J873">_xlfn.IFS(
AND(I873&gt;=89,I873&lt;=92),"D-90",
AND(I873&gt;=58,I873&lt;=62),"D-60",
AND(I873&gt;=28,I873&lt;=32),"D-30",
AND(I873=0),"당월",
TRUE,"그외")</f>
        <v>당월</v>
      </c>
    </row>
    <row r="874" spans="1:10" ht="17.649999999999999" customHeight="1" x14ac:dyDescent="0.3">
      <c r="A874" s="4">
        <v>46054</v>
      </c>
      <c r="B874" s="5" t="s">
        <v>13</v>
      </c>
      <c r="C874" s="4">
        <v>45839</v>
      </c>
      <c r="D874" s="5" t="s">
        <v>10</v>
      </c>
      <c r="E874" s="6">
        <v>36</v>
      </c>
      <c r="F874" s="6">
        <v>293722.22222222219</v>
      </c>
      <c r="G874" s="6">
        <v>10574000</v>
      </c>
      <c r="H874" s="6">
        <v>594000</v>
      </c>
      <c r="I874" s="6">
        <f t="shared" si="13"/>
        <v>215</v>
      </c>
      <c r="J874" t="str" cm="1">
        <f t="array" ref="J874">_xlfn.IFS(
AND(I874&gt;=89,I874&lt;=92),"D-90",
AND(I874&gt;=58,I874&lt;=62),"D-60",
AND(I874&gt;=28,I874&lt;=32),"D-30",
AND(I874=0),"당월",
TRUE,"그외")</f>
        <v>그외</v>
      </c>
    </row>
    <row r="875" spans="1:10" ht="17.649999999999999" customHeight="1" x14ac:dyDescent="0.3">
      <c r="A875" s="4">
        <v>46054</v>
      </c>
      <c r="B875" s="5" t="s">
        <v>13</v>
      </c>
      <c r="C875" s="4">
        <v>45870</v>
      </c>
      <c r="D875" s="5" t="s">
        <v>10</v>
      </c>
      <c r="E875" s="6">
        <v>38</v>
      </c>
      <c r="F875" s="6">
        <v>296394.73684210528</v>
      </c>
      <c r="G875" s="6">
        <v>11263000</v>
      </c>
      <c r="H875" s="6">
        <v>988000</v>
      </c>
      <c r="I875" s="6">
        <f t="shared" si="13"/>
        <v>184</v>
      </c>
      <c r="J875" t="str" cm="1">
        <f t="array" ref="J875">_xlfn.IFS(
AND(I875&gt;=89,I875&lt;=92),"D-90",
AND(I875&gt;=58,I875&lt;=62),"D-60",
AND(I875&gt;=28,I875&lt;=32),"D-30",
AND(I875=0),"당월",
TRUE,"그외")</f>
        <v>그외</v>
      </c>
    </row>
    <row r="876" spans="1:10" ht="17.649999999999999" customHeight="1" x14ac:dyDescent="0.3">
      <c r="A876" s="4">
        <v>46054</v>
      </c>
      <c r="B876" s="5" t="s">
        <v>13</v>
      </c>
      <c r="C876" s="4">
        <v>45901</v>
      </c>
      <c r="D876" s="5" t="s">
        <v>10</v>
      </c>
      <c r="E876" s="6">
        <v>197</v>
      </c>
      <c r="F876" s="6">
        <v>231661.7208121827</v>
      </c>
      <c r="G876" s="6">
        <v>45637359</v>
      </c>
      <c r="H876" s="6">
        <v>5201949</v>
      </c>
      <c r="I876" s="6">
        <f t="shared" si="13"/>
        <v>153</v>
      </c>
      <c r="J876" t="str" cm="1">
        <f t="array" ref="J876">_xlfn.IFS(
AND(I876&gt;=89,I876&lt;=92),"D-90",
AND(I876&gt;=58,I876&lt;=62),"D-60",
AND(I876&gt;=28,I876&lt;=32),"D-30",
AND(I876=0),"당월",
TRUE,"그외")</f>
        <v>그외</v>
      </c>
    </row>
    <row r="877" spans="1:10" ht="17.649999999999999" customHeight="1" x14ac:dyDescent="0.3">
      <c r="A877" s="4">
        <v>46054</v>
      </c>
      <c r="B877" s="5" t="s">
        <v>13</v>
      </c>
      <c r="C877" s="4">
        <v>45931</v>
      </c>
      <c r="D877" s="5" t="s">
        <v>10</v>
      </c>
      <c r="E877" s="6">
        <v>286</v>
      </c>
      <c r="F877" s="6">
        <v>265789.2972027972</v>
      </c>
      <c r="G877" s="6">
        <v>76015739</v>
      </c>
      <c r="H877" s="6">
        <v>7565948</v>
      </c>
      <c r="I877" s="6">
        <f t="shared" si="13"/>
        <v>123</v>
      </c>
      <c r="J877" t="str" cm="1">
        <f t="array" ref="J877">_xlfn.IFS(
AND(I877&gt;=89,I877&lt;=92),"D-90",
AND(I877&gt;=58,I877&lt;=62),"D-60",
AND(I877&gt;=28,I877&lt;=32),"D-30",
AND(I877=0),"당월",
TRUE,"그외")</f>
        <v>그외</v>
      </c>
    </row>
    <row r="878" spans="1:10" ht="17.649999999999999" customHeight="1" x14ac:dyDescent="0.3">
      <c r="A878" s="4">
        <v>46054</v>
      </c>
      <c r="B878" s="5" t="s">
        <v>13</v>
      </c>
      <c r="C878" s="4">
        <v>45962</v>
      </c>
      <c r="D878" s="5" t="s">
        <v>9</v>
      </c>
      <c r="E878" s="6">
        <v>71</v>
      </c>
      <c r="F878" s="6">
        <v>359700</v>
      </c>
      <c r="G878" s="6">
        <v>25538700</v>
      </c>
      <c r="H878" s="6">
        <v>1895700</v>
      </c>
      <c r="I878" s="6">
        <f t="shared" si="13"/>
        <v>92</v>
      </c>
      <c r="J878" t="str" cm="1">
        <f t="array" ref="J878">_xlfn.IFS(
AND(I878&gt;=89,I878&lt;=92),"D-90",
AND(I878&gt;=58,I878&lt;=62),"D-60",
AND(I878&gt;=28,I878&lt;=32),"D-30",
AND(I878=0),"당월",
TRUE,"그외")</f>
        <v>D-90</v>
      </c>
    </row>
    <row r="879" spans="1:10" ht="17.649999999999999" customHeight="1" x14ac:dyDescent="0.3">
      <c r="A879" s="4">
        <v>46054</v>
      </c>
      <c r="B879" s="5" t="s">
        <v>13</v>
      </c>
      <c r="C879" s="4">
        <v>45962</v>
      </c>
      <c r="D879" s="5" t="s">
        <v>10</v>
      </c>
      <c r="E879" s="6">
        <v>275</v>
      </c>
      <c r="F879" s="6">
        <v>259562.35636363641</v>
      </c>
      <c r="G879" s="6">
        <v>71379648</v>
      </c>
      <c r="H879" s="6">
        <v>7356178</v>
      </c>
      <c r="I879" s="6">
        <f t="shared" si="13"/>
        <v>92</v>
      </c>
      <c r="J879" t="str" cm="1">
        <f t="array" ref="J879">_xlfn.IFS(
AND(I879&gt;=89,I879&lt;=92),"D-90",
AND(I879&gt;=58,I879&lt;=62),"D-60",
AND(I879&gt;=28,I879&lt;=32),"D-30",
AND(I879=0),"당월",
TRUE,"그외")</f>
        <v>D-90</v>
      </c>
    </row>
    <row r="880" spans="1:10" ht="17.649999999999999" customHeight="1" x14ac:dyDescent="0.3">
      <c r="A880" s="4">
        <v>46054</v>
      </c>
      <c r="B880" s="5" t="s">
        <v>13</v>
      </c>
      <c r="C880" s="4">
        <v>45992</v>
      </c>
      <c r="D880" s="5" t="s">
        <v>9</v>
      </c>
      <c r="E880" s="6">
        <v>262</v>
      </c>
      <c r="F880" s="6">
        <v>219589.31297709921</v>
      </c>
      <c r="G880" s="6">
        <v>57532400</v>
      </c>
      <c r="H880" s="6">
        <v>8305400</v>
      </c>
      <c r="I880" s="6">
        <f t="shared" si="13"/>
        <v>62</v>
      </c>
      <c r="J880" t="str" cm="1">
        <f t="array" ref="J880">_xlfn.IFS(
AND(I880&gt;=89,I880&lt;=92),"D-90",
AND(I880&gt;=58,I880&lt;=62),"D-60",
AND(I880&gt;=28,I880&lt;=32),"D-30",
AND(I880=0),"당월",
TRUE,"그외")</f>
        <v>D-60</v>
      </c>
    </row>
    <row r="881" spans="1:10" ht="17.649999999999999" customHeight="1" x14ac:dyDescent="0.3">
      <c r="A881" s="4">
        <v>46054</v>
      </c>
      <c r="B881" s="5" t="s">
        <v>13</v>
      </c>
      <c r="C881" s="4">
        <v>45992</v>
      </c>
      <c r="D881" s="5" t="s">
        <v>10</v>
      </c>
      <c r="E881" s="6">
        <v>534</v>
      </c>
      <c r="F881" s="6">
        <v>278570.62734082399</v>
      </c>
      <c r="G881" s="6">
        <v>148756715</v>
      </c>
      <c r="H881" s="6">
        <v>16909765</v>
      </c>
      <c r="I881" s="6">
        <f t="shared" si="13"/>
        <v>62</v>
      </c>
      <c r="J881" t="str" cm="1">
        <f t="array" ref="J881">_xlfn.IFS(
AND(I881&gt;=89,I881&lt;=92),"D-90",
AND(I881&gt;=58,I881&lt;=62),"D-60",
AND(I881&gt;=28,I881&lt;=32),"D-30",
AND(I881=0),"당월",
TRUE,"그외")</f>
        <v>D-60</v>
      </c>
    </row>
    <row r="882" spans="1:10" ht="17.649999999999999" customHeight="1" x14ac:dyDescent="0.3">
      <c r="A882" s="4">
        <v>46054</v>
      </c>
      <c r="B882" s="5" t="s">
        <v>13</v>
      </c>
      <c r="C882" s="4">
        <v>46023</v>
      </c>
      <c r="D882" s="5" t="s">
        <v>9</v>
      </c>
      <c r="E882" s="6">
        <v>1920</v>
      </c>
      <c r="F882" s="6">
        <v>172347.91666666669</v>
      </c>
      <c r="G882" s="6">
        <v>330908000</v>
      </c>
      <c r="H882" s="6">
        <v>62016000</v>
      </c>
      <c r="I882" s="6">
        <f t="shared" si="13"/>
        <v>31</v>
      </c>
      <c r="J882" t="str" cm="1">
        <f t="array" ref="J882">_xlfn.IFS(
AND(I882&gt;=89,I882&lt;=92),"D-90",
AND(I882&gt;=58,I882&lt;=62),"D-60",
AND(I882&gt;=28,I882&lt;=32),"D-30",
AND(I882=0),"당월",
TRUE,"그외")</f>
        <v>D-30</v>
      </c>
    </row>
    <row r="883" spans="1:10" ht="17.649999999999999" customHeight="1" x14ac:dyDescent="0.3">
      <c r="A883" s="4">
        <v>46054</v>
      </c>
      <c r="B883" s="5" t="s">
        <v>13</v>
      </c>
      <c r="C883" s="4">
        <v>46023</v>
      </c>
      <c r="D883" s="5" t="s">
        <v>10</v>
      </c>
      <c r="E883" s="6">
        <v>4721</v>
      </c>
      <c r="F883" s="6">
        <v>180436.16437195509</v>
      </c>
      <c r="G883" s="6">
        <v>851839132</v>
      </c>
      <c r="H883" s="6">
        <v>155521343</v>
      </c>
      <c r="I883" s="6">
        <f t="shared" si="13"/>
        <v>31</v>
      </c>
      <c r="J883" t="str" cm="1">
        <f t="array" ref="J883">_xlfn.IFS(
AND(I883&gt;=89,I883&lt;=92),"D-90",
AND(I883&gt;=58,I883&lt;=62),"D-60",
AND(I883&gt;=28,I883&lt;=32),"D-30",
AND(I883=0),"당월",
TRUE,"그외")</f>
        <v>D-30</v>
      </c>
    </row>
    <row r="884" spans="1:10" ht="17.649999999999999" customHeight="1" x14ac:dyDescent="0.3">
      <c r="A884" s="4">
        <v>46054</v>
      </c>
      <c r="B884" s="5" t="s">
        <v>13</v>
      </c>
      <c r="C884" s="4">
        <v>46054</v>
      </c>
      <c r="D884" s="5" t="s">
        <v>9</v>
      </c>
      <c r="E884" s="6">
        <v>82</v>
      </c>
      <c r="F884" s="6">
        <v>208080.48780487801</v>
      </c>
      <c r="G884" s="6">
        <v>17062600</v>
      </c>
      <c r="H884" s="6">
        <v>1824600</v>
      </c>
      <c r="I884" s="6">
        <f t="shared" si="13"/>
        <v>0</v>
      </c>
      <c r="J884" t="str" cm="1">
        <f t="array" ref="J884">_xlfn.IFS(
AND(I884&gt;=89,I884&lt;=92),"D-90",
AND(I884&gt;=58,I884&lt;=62),"D-60",
AND(I884&gt;=28,I884&lt;=32),"D-30",
AND(I884=0),"당월",
TRUE,"그외")</f>
        <v>당월</v>
      </c>
    </row>
    <row r="885" spans="1:10" ht="17.649999999999999" customHeight="1" x14ac:dyDescent="0.3">
      <c r="A885" s="4">
        <v>46054</v>
      </c>
      <c r="B885" s="5" t="s">
        <v>13</v>
      </c>
      <c r="C885" s="4">
        <v>46054</v>
      </c>
      <c r="D885" s="5" t="s">
        <v>10</v>
      </c>
      <c r="E885" s="6">
        <v>1449</v>
      </c>
      <c r="F885" s="6">
        <v>236378.3871635611</v>
      </c>
      <c r="G885" s="6">
        <v>342512283</v>
      </c>
      <c r="H885" s="6">
        <v>35058083</v>
      </c>
      <c r="I885" s="6">
        <f t="shared" si="13"/>
        <v>0</v>
      </c>
      <c r="J885" t="str" cm="1">
        <f t="array" ref="J885">_xlfn.IFS(
AND(I885&gt;=89,I885&lt;=92),"D-90",
AND(I885&gt;=58,I885&lt;=62),"D-60",
AND(I885&gt;=28,I885&lt;=32),"D-30",
AND(I885=0),"당월",
TRUE,"그외")</f>
        <v>당월</v>
      </c>
    </row>
    <row r="886" spans="1:10" ht="17.649999999999999" customHeight="1" x14ac:dyDescent="0.3">
      <c r="A886" s="4">
        <v>46082</v>
      </c>
      <c r="B886" s="5" t="s">
        <v>8</v>
      </c>
      <c r="C886" s="4">
        <v>45839</v>
      </c>
      <c r="D886" s="5" t="s">
        <v>10</v>
      </c>
      <c r="E886" s="6">
        <v>8</v>
      </c>
      <c r="F886" s="6">
        <v>146400</v>
      </c>
      <c r="G886" s="6">
        <v>1171200</v>
      </c>
      <c r="H886" s="6">
        <v>132000</v>
      </c>
      <c r="I886" s="6">
        <f t="shared" si="13"/>
        <v>243</v>
      </c>
      <c r="J886" t="str" cm="1">
        <f t="array" ref="J886">_xlfn.IFS(
AND(I886&gt;=89,I886&lt;=92),"D-90",
AND(I886&gt;=58,I886&lt;=62),"D-60",
AND(I886&gt;=28,I886&lt;=32),"D-30",
AND(I886=0),"당월",
TRUE,"그외")</f>
        <v>그외</v>
      </c>
    </row>
    <row r="887" spans="1:10" ht="17.649999999999999" customHeight="1" x14ac:dyDescent="0.3">
      <c r="A887" s="4">
        <v>46082</v>
      </c>
      <c r="B887" s="5" t="s">
        <v>8</v>
      </c>
      <c r="C887" s="4">
        <v>45870</v>
      </c>
      <c r="D887" s="5" t="s">
        <v>10</v>
      </c>
      <c r="E887" s="6">
        <v>490</v>
      </c>
      <c r="F887" s="6">
        <v>154908.23469387749</v>
      </c>
      <c r="G887" s="6">
        <v>75905035</v>
      </c>
      <c r="H887" s="6">
        <v>13118765</v>
      </c>
      <c r="I887" s="6">
        <f t="shared" si="13"/>
        <v>212</v>
      </c>
      <c r="J887" t="str" cm="1">
        <f t="array" ref="J887">_xlfn.IFS(
AND(I887&gt;=89,I887&lt;=92),"D-90",
AND(I887&gt;=58,I887&lt;=62),"D-60",
AND(I887&gt;=28,I887&lt;=32),"D-30",
AND(I887=0),"당월",
TRUE,"그외")</f>
        <v>그외</v>
      </c>
    </row>
    <row r="888" spans="1:10" ht="17.649999999999999" customHeight="1" x14ac:dyDescent="0.3">
      <c r="A888" s="4">
        <v>46082</v>
      </c>
      <c r="B888" s="5" t="s">
        <v>8</v>
      </c>
      <c r="C888" s="4">
        <v>45901</v>
      </c>
      <c r="D888" s="5" t="s">
        <v>10</v>
      </c>
      <c r="E888" s="6">
        <v>321</v>
      </c>
      <c r="F888" s="6">
        <v>176095.75700934581</v>
      </c>
      <c r="G888" s="6">
        <v>56526738</v>
      </c>
      <c r="H888" s="6">
        <v>8594746</v>
      </c>
      <c r="I888" s="6">
        <f t="shared" si="13"/>
        <v>181</v>
      </c>
      <c r="J888" t="str" cm="1">
        <f t="array" ref="J888">_xlfn.IFS(
AND(I888&gt;=89,I888&lt;=92),"D-90",
AND(I888&gt;=58,I888&lt;=62),"D-60",
AND(I888&gt;=28,I888&lt;=32),"D-30",
AND(I888=0),"당월",
TRUE,"그외")</f>
        <v>그외</v>
      </c>
    </row>
    <row r="889" spans="1:10" ht="17.649999999999999" customHeight="1" x14ac:dyDescent="0.3">
      <c r="A889" s="4">
        <v>46082</v>
      </c>
      <c r="B889" s="5" t="s">
        <v>8</v>
      </c>
      <c r="C889" s="4">
        <v>45931</v>
      </c>
      <c r="D889" s="5" t="s">
        <v>9</v>
      </c>
      <c r="E889" s="6">
        <v>14</v>
      </c>
      <c r="F889" s="6">
        <v>144971.42857142861</v>
      </c>
      <c r="G889" s="6">
        <v>2029600</v>
      </c>
      <c r="H889" s="6">
        <v>369600</v>
      </c>
      <c r="I889" s="6">
        <f t="shared" si="13"/>
        <v>151</v>
      </c>
      <c r="J889" t="str" cm="1">
        <f t="array" ref="J889">_xlfn.IFS(
AND(I889&gt;=89,I889&lt;=92),"D-90",
AND(I889&gt;=58,I889&lt;=62),"D-60",
AND(I889&gt;=28,I889&lt;=32),"D-30",
AND(I889=0),"당월",
TRUE,"그외")</f>
        <v>그외</v>
      </c>
    </row>
    <row r="890" spans="1:10" ht="17.649999999999999" customHeight="1" x14ac:dyDescent="0.3">
      <c r="A890" s="4">
        <v>46082</v>
      </c>
      <c r="B890" s="5" t="s">
        <v>8</v>
      </c>
      <c r="C890" s="4">
        <v>45931</v>
      </c>
      <c r="D890" s="5" t="s">
        <v>10</v>
      </c>
      <c r="E890" s="6">
        <v>422</v>
      </c>
      <c r="F890" s="6">
        <v>183192.29620853081</v>
      </c>
      <c r="G890" s="6">
        <v>77307149</v>
      </c>
      <c r="H890" s="6">
        <v>11282489</v>
      </c>
      <c r="I890" s="6">
        <f t="shared" si="13"/>
        <v>151</v>
      </c>
      <c r="J890" t="str" cm="1">
        <f t="array" ref="J890">_xlfn.IFS(
AND(I890&gt;=89,I890&lt;=92),"D-90",
AND(I890&gt;=58,I890&lt;=62),"D-60",
AND(I890&gt;=28,I890&lt;=32),"D-30",
AND(I890=0),"당월",
TRUE,"그외")</f>
        <v>그외</v>
      </c>
    </row>
    <row r="891" spans="1:10" ht="17.649999999999999" customHeight="1" x14ac:dyDescent="0.3">
      <c r="A891" s="4">
        <v>46082</v>
      </c>
      <c r="B891" s="5" t="s">
        <v>8</v>
      </c>
      <c r="C891" s="4">
        <v>45962</v>
      </c>
      <c r="D891" s="5" t="s">
        <v>9</v>
      </c>
      <c r="E891" s="6">
        <v>364</v>
      </c>
      <c r="F891" s="6">
        <v>165048.90109890109</v>
      </c>
      <c r="G891" s="6">
        <v>60077800</v>
      </c>
      <c r="H891" s="6">
        <v>9718800</v>
      </c>
      <c r="I891" s="6">
        <f t="shared" si="13"/>
        <v>120</v>
      </c>
      <c r="J891" t="str" cm="1">
        <f t="array" ref="J891">_xlfn.IFS(
AND(I891&gt;=89,I891&lt;=92),"D-90",
AND(I891&gt;=58,I891&lt;=62),"D-60",
AND(I891&gt;=28,I891&lt;=32),"D-30",
AND(I891=0),"당월",
TRUE,"그외")</f>
        <v>그외</v>
      </c>
    </row>
    <row r="892" spans="1:10" ht="17.649999999999999" customHeight="1" x14ac:dyDescent="0.3">
      <c r="A892" s="4">
        <v>46082</v>
      </c>
      <c r="B892" s="5" t="s">
        <v>8</v>
      </c>
      <c r="C892" s="4">
        <v>45962</v>
      </c>
      <c r="D892" s="5" t="s">
        <v>10</v>
      </c>
      <c r="E892" s="6">
        <v>617</v>
      </c>
      <c r="F892" s="6">
        <v>191264.02269043759</v>
      </c>
      <c r="G892" s="6">
        <v>118009902</v>
      </c>
      <c r="H892" s="6">
        <v>16642855</v>
      </c>
      <c r="I892" s="6">
        <f t="shared" si="13"/>
        <v>120</v>
      </c>
      <c r="J892" t="str" cm="1">
        <f t="array" ref="J892">_xlfn.IFS(
AND(I892&gt;=89,I892&lt;=92),"D-90",
AND(I892&gt;=58,I892&lt;=62),"D-60",
AND(I892&gt;=28,I892&lt;=32),"D-30",
AND(I892=0),"당월",
TRUE,"그외")</f>
        <v>그외</v>
      </c>
    </row>
    <row r="893" spans="1:10" ht="17.649999999999999" customHeight="1" x14ac:dyDescent="0.3">
      <c r="A893" s="4">
        <v>46082</v>
      </c>
      <c r="B893" s="5" t="s">
        <v>8</v>
      </c>
      <c r="C893" s="4">
        <v>45992</v>
      </c>
      <c r="D893" s="5" t="s">
        <v>9</v>
      </c>
      <c r="E893" s="6">
        <v>795</v>
      </c>
      <c r="F893" s="6">
        <v>144999.37106918241</v>
      </c>
      <c r="G893" s="6">
        <v>115274500</v>
      </c>
      <c r="H893" s="6">
        <v>25191500</v>
      </c>
      <c r="I893" s="6">
        <f t="shared" si="13"/>
        <v>90</v>
      </c>
      <c r="J893" t="str" cm="1">
        <f t="array" ref="J893">_xlfn.IFS(
AND(I893&gt;=89,I893&lt;=92),"D-90",
AND(I893&gt;=58,I893&lt;=62),"D-60",
AND(I893&gt;=28,I893&lt;=32),"D-30",
AND(I893=0),"당월",
TRUE,"그외")</f>
        <v>D-90</v>
      </c>
    </row>
    <row r="894" spans="1:10" ht="17.649999999999999" customHeight="1" x14ac:dyDescent="0.3">
      <c r="A894" s="4">
        <v>46082</v>
      </c>
      <c r="B894" s="5" t="s">
        <v>8</v>
      </c>
      <c r="C894" s="4">
        <v>45992</v>
      </c>
      <c r="D894" s="5" t="s">
        <v>10</v>
      </c>
      <c r="E894" s="6">
        <v>824</v>
      </c>
      <c r="F894" s="6">
        <v>192887.52791262139</v>
      </c>
      <c r="G894" s="6">
        <v>158939323</v>
      </c>
      <c r="H894" s="6">
        <v>25298276</v>
      </c>
      <c r="I894" s="6">
        <f t="shared" si="13"/>
        <v>90</v>
      </c>
      <c r="J894" t="str" cm="1">
        <f t="array" ref="J894">_xlfn.IFS(
AND(I894&gt;=89,I894&lt;=92),"D-90",
AND(I894&gt;=58,I894&lt;=62),"D-60",
AND(I894&gt;=28,I894&lt;=32),"D-30",
AND(I894=0),"당월",
TRUE,"그외")</f>
        <v>D-90</v>
      </c>
    </row>
    <row r="895" spans="1:10" ht="17.649999999999999" customHeight="1" x14ac:dyDescent="0.3">
      <c r="A895" s="4">
        <v>46082</v>
      </c>
      <c r="B895" s="5" t="s">
        <v>8</v>
      </c>
      <c r="C895" s="4">
        <v>46023</v>
      </c>
      <c r="D895" s="5" t="s">
        <v>9</v>
      </c>
      <c r="E895" s="6">
        <v>754</v>
      </c>
      <c r="F895" s="6">
        <v>203998.14323607431</v>
      </c>
      <c r="G895" s="6">
        <v>153814600</v>
      </c>
      <c r="H895" s="6">
        <v>24094600</v>
      </c>
      <c r="I895" s="6">
        <f t="shared" si="13"/>
        <v>59</v>
      </c>
      <c r="J895" t="str" cm="1">
        <f t="array" ref="J895">_xlfn.IFS(
AND(I895&gt;=89,I895&lt;=92),"D-90",
AND(I895&gt;=58,I895&lt;=62),"D-60",
AND(I895&gt;=28,I895&lt;=32),"D-30",
AND(I895=0),"당월",
TRUE,"그외")</f>
        <v>D-60</v>
      </c>
    </row>
    <row r="896" spans="1:10" ht="17.649999999999999" customHeight="1" x14ac:dyDescent="0.3">
      <c r="A896" s="4">
        <v>46082</v>
      </c>
      <c r="B896" s="5" t="s">
        <v>8</v>
      </c>
      <c r="C896" s="4">
        <v>46023</v>
      </c>
      <c r="D896" s="5" t="s">
        <v>10</v>
      </c>
      <c r="E896" s="6">
        <v>1600</v>
      </c>
      <c r="F896" s="6">
        <v>195133.47562499999</v>
      </c>
      <c r="G896" s="6">
        <v>312213561</v>
      </c>
      <c r="H896" s="6">
        <v>51486711</v>
      </c>
      <c r="I896" s="6">
        <f t="shared" si="13"/>
        <v>59</v>
      </c>
      <c r="J896" t="str" cm="1">
        <f t="array" ref="J896">_xlfn.IFS(
AND(I896&gt;=89,I896&lt;=92),"D-90",
AND(I896&gt;=58,I896&lt;=62),"D-60",
AND(I896&gt;=28,I896&lt;=32),"D-30",
AND(I896=0),"당월",
TRUE,"그외")</f>
        <v>D-60</v>
      </c>
    </row>
    <row r="897" spans="1:10" ht="17.649999999999999" customHeight="1" x14ac:dyDescent="0.3">
      <c r="A897" s="4">
        <v>46082</v>
      </c>
      <c r="B897" s="5" t="s">
        <v>8</v>
      </c>
      <c r="C897" s="4">
        <v>46054</v>
      </c>
      <c r="D897" s="5" t="s">
        <v>9</v>
      </c>
      <c r="E897" s="6">
        <v>1848</v>
      </c>
      <c r="F897" s="6">
        <v>198226.4069264069</v>
      </c>
      <c r="G897" s="6">
        <v>366322400</v>
      </c>
      <c r="H897" s="6">
        <v>38475400</v>
      </c>
      <c r="I897" s="6">
        <f t="shared" si="13"/>
        <v>28</v>
      </c>
      <c r="J897" t="str" cm="1">
        <f t="array" ref="J897">_xlfn.IFS(
AND(I897&gt;=89,I897&lt;=92),"D-90",
AND(I897&gt;=58,I897&lt;=62),"D-60",
AND(I897&gt;=28,I897&lt;=32),"D-30",
AND(I897=0),"당월",
TRUE,"그외")</f>
        <v>D-30</v>
      </c>
    </row>
    <row r="898" spans="1:10" ht="17.649999999999999" customHeight="1" x14ac:dyDescent="0.3">
      <c r="A898" s="4">
        <v>46082</v>
      </c>
      <c r="B898" s="5" t="s">
        <v>8</v>
      </c>
      <c r="C898" s="4">
        <v>46054</v>
      </c>
      <c r="D898" s="5" t="s">
        <v>10</v>
      </c>
      <c r="E898" s="6">
        <v>1379</v>
      </c>
      <c r="F898" s="6">
        <v>224067.60986221899</v>
      </c>
      <c r="G898" s="6">
        <v>308989234</v>
      </c>
      <c r="H898" s="6">
        <v>30977951</v>
      </c>
      <c r="I898" s="6">
        <f t="shared" si="13"/>
        <v>28</v>
      </c>
      <c r="J898" t="str" cm="1">
        <f t="array" ref="J898">_xlfn.IFS(
AND(I898&gt;=89,I898&lt;=92),"D-90",
AND(I898&gt;=58,I898&lt;=62),"D-60",
AND(I898&gt;=28,I898&lt;=32),"D-30",
AND(I898=0),"당월",
TRUE,"그외")</f>
        <v>D-30</v>
      </c>
    </row>
    <row r="899" spans="1:10" ht="17.649999999999999" customHeight="1" x14ac:dyDescent="0.3">
      <c r="A899" s="4">
        <v>46082</v>
      </c>
      <c r="B899" s="5" t="s">
        <v>8</v>
      </c>
      <c r="C899" s="4">
        <v>46082</v>
      </c>
      <c r="D899" s="5" t="s">
        <v>9</v>
      </c>
      <c r="E899" s="6">
        <v>1890</v>
      </c>
      <c r="F899" s="6">
        <v>34859.629629629628</v>
      </c>
      <c r="G899" s="6">
        <v>65884700</v>
      </c>
      <c r="H899" s="6">
        <v>52726700</v>
      </c>
      <c r="I899" s="6">
        <f t="shared" ref="I899:I962" si="14">A899-C899</f>
        <v>0</v>
      </c>
      <c r="J899" t="str" cm="1">
        <f t="array" ref="J899">_xlfn.IFS(
AND(I899&gt;=89,I899&lt;=92),"D-90",
AND(I899&gt;=58,I899&lt;=62),"D-60",
AND(I899&gt;=28,I899&lt;=32),"D-30",
AND(I899=0),"당월",
TRUE,"그외")</f>
        <v>당월</v>
      </c>
    </row>
    <row r="900" spans="1:10" ht="17.649999999999999" customHeight="1" x14ac:dyDescent="0.3">
      <c r="A900" s="4">
        <v>46082</v>
      </c>
      <c r="B900" s="5" t="s">
        <v>8</v>
      </c>
      <c r="C900" s="4">
        <v>46082</v>
      </c>
      <c r="D900" s="5" t="s">
        <v>10</v>
      </c>
      <c r="E900" s="6">
        <v>571</v>
      </c>
      <c r="F900" s="6">
        <v>243610.01751313481</v>
      </c>
      <c r="G900" s="6">
        <v>139101320</v>
      </c>
      <c r="H900" s="6">
        <v>17027167</v>
      </c>
      <c r="I900" s="6">
        <f t="shared" si="14"/>
        <v>0</v>
      </c>
      <c r="J900" t="str" cm="1">
        <f t="array" ref="J900">_xlfn.IFS(
AND(I900&gt;=89,I900&lt;=92),"D-90",
AND(I900&gt;=58,I900&lt;=62),"D-60",
AND(I900&gt;=28,I900&lt;=32),"D-30",
AND(I900=0),"당월",
TRUE,"그외")</f>
        <v>당월</v>
      </c>
    </row>
    <row r="901" spans="1:10" ht="17.649999999999999" customHeight="1" x14ac:dyDescent="0.3">
      <c r="A901" s="4">
        <v>46082</v>
      </c>
      <c r="B901" s="5" t="s">
        <v>11</v>
      </c>
      <c r="C901" s="4">
        <v>45839</v>
      </c>
      <c r="D901" s="5" t="s">
        <v>10</v>
      </c>
      <c r="E901" s="6">
        <v>58</v>
      </c>
      <c r="F901" s="6">
        <v>187389.6551724138</v>
      </c>
      <c r="G901" s="6">
        <v>10868600</v>
      </c>
      <c r="H901" s="6">
        <v>957000</v>
      </c>
      <c r="I901" s="6">
        <f t="shared" si="14"/>
        <v>243</v>
      </c>
      <c r="J901" t="str" cm="1">
        <f t="array" ref="J901">_xlfn.IFS(
AND(I901&gt;=89,I901&lt;=92),"D-90",
AND(I901&gt;=58,I901&lt;=62),"D-60",
AND(I901&gt;=28,I901&lt;=32),"D-30",
AND(I901=0),"당월",
TRUE,"그외")</f>
        <v>그외</v>
      </c>
    </row>
    <row r="902" spans="1:10" ht="17.649999999999999" customHeight="1" x14ac:dyDescent="0.3">
      <c r="A902" s="4">
        <v>46082</v>
      </c>
      <c r="B902" s="5" t="s">
        <v>11</v>
      </c>
      <c r="C902" s="4">
        <v>45870</v>
      </c>
      <c r="D902" s="5" t="s">
        <v>10</v>
      </c>
      <c r="E902" s="6">
        <v>108</v>
      </c>
      <c r="F902" s="6">
        <v>172641.8148148148</v>
      </c>
      <c r="G902" s="6">
        <v>18645316</v>
      </c>
      <c r="H902" s="6">
        <v>2831864</v>
      </c>
      <c r="I902" s="6">
        <f t="shared" si="14"/>
        <v>212</v>
      </c>
      <c r="J902" t="str" cm="1">
        <f t="array" ref="J902">_xlfn.IFS(
AND(I902&gt;=89,I902&lt;=92),"D-90",
AND(I902&gt;=58,I902&lt;=62),"D-60",
AND(I902&gt;=28,I902&lt;=32),"D-30",
AND(I902=0),"당월",
TRUE,"그외")</f>
        <v>그외</v>
      </c>
    </row>
    <row r="903" spans="1:10" ht="17.649999999999999" customHeight="1" x14ac:dyDescent="0.3">
      <c r="A903" s="4">
        <v>46082</v>
      </c>
      <c r="B903" s="5" t="s">
        <v>11</v>
      </c>
      <c r="C903" s="4">
        <v>45901</v>
      </c>
      <c r="D903" s="5" t="s">
        <v>9</v>
      </c>
      <c r="E903" s="6">
        <v>14</v>
      </c>
      <c r="F903" s="6">
        <v>166300</v>
      </c>
      <c r="G903" s="6">
        <v>2328200</v>
      </c>
      <c r="H903" s="6">
        <v>368200</v>
      </c>
      <c r="I903" s="6">
        <f t="shared" si="14"/>
        <v>181</v>
      </c>
      <c r="J903" t="str" cm="1">
        <f t="array" ref="J903">_xlfn.IFS(
AND(I903&gt;=89,I903&lt;=92),"D-90",
AND(I903&gt;=58,I903&lt;=62),"D-60",
AND(I903&gt;=28,I903&lt;=32),"D-30",
AND(I903=0),"당월",
TRUE,"그외")</f>
        <v>그외</v>
      </c>
    </row>
    <row r="904" spans="1:10" ht="17.649999999999999" customHeight="1" x14ac:dyDescent="0.3">
      <c r="A904" s="4">
        <v>46082</v>
      </c>
      <c r="B904" s="5" t="s">
        <v>11</v>
      </c>
      <c r="C904" s="4">
        <v>45901</v>
      </c>
      <c r="D904" s="5" t="s">
        <v>10</v>
      </c>
      <c r="E904" s="6">
        <v>223</v>
      </c>
      <c r="F904" s="6">
        <v>184236.32286995521</v>
      </c>
      <c r="G904" s="6">
        <v>41084700</v>
      </c>
      <c r="H904" s="6">
        <v>5864300</v>
      </c>
      <c r="I904" s="6">
        <f t="shared" si="14"/>
        <v>181</v>
      </c>
      <c r="J904" t="str" cm="1">
        <f t="array" ref="J904">_xlfn.IFS(
AND(I904&gt;=89,I904&lt;=92),"D-90",
AND(I904&gt;=58,I904&lt;=62),"D-60",
AND(I904&gt;=28,I904&lt;=32),"D-30",
AND(I904=0),"당월",
TRUE,"그외")</f>
        <v>그외</v>
      </c>
    </row>
    <row r="905" spans="1:10" ht="17.649999999999999" customHeight="1" x14ac:dyDescent="0.3">
      <c r="A905" s="4">
        <v>46082</v>
      </c>
      <c r="B905" s="5" t="s">
        <v>11</v>
      </c>
      <c r="C905" s="4">
        <v>45931</v>
      </c>
      <c r="D905" s="5" t="s">
        <v>9</v>
      </c>
      <c r="E905" s="6">
        <v>72</v>
      </c>
      <c r="F905" s="6">
        <v>216122.22222222219</v>
      </c>
      <c r="G905" s="6">
        <v>15560800</v>
      </c>
      <c r="H905" s="6">
        <v>1900800</v>
      </c>
      <c r="I905" s="6">
        <f t="shared" si="14"/>
        <v>151</v>
      </c>
      <c r="J905" t="str" cm="1">
        <f t="array" ref="J905">_xlfn.IFS(
AND(I905&gt;=89,I905&lt;=92),"D-90",
AND(I905&gt;=58,I905&lt;=62),"D-60",
AND(I905&gt;=28,I905&lt;=32),"D-30",
AND(I905=0),"당월",
TRUE,"그외")</f>
        <v>그외</v>
      </c>
    </row>
    <row r="906" spans="1:10" ht="17.649999999999999" customHeight="1" x14ac:dyDescent="0.3">
      <c r="A906" s="4">
        <v>46082</v>
      </c>
      <c r="B906" s="5" t="s">
        <v>11</v>
      </c>
      <c r="C906" s="4">
        <v>45931</v>
      </c>
      <c r="D906" s="5" t="s">
        <v>10</v>
      </c>
      <c r="E906" s="6">
        <v>584</v>
      </c>
      <c r="F906" s="6">
        <v>172241.78082191781</v>
      </c>
      <c r="G906" s="6">
        <v>100589200</v>
      </c>
      <c r="H906" s="6">
        <v>15412400</v>
      </c>
      <c r="I906" s="6">
        <f t="shared" si="14"/>
        <v>151</v>
      </c>
      <c r="J906" t="str" cm="1">
        <f t="array" ref="J906">_xlfn.IFS(
AND(I906&gt;=89,I906&lt;=92),"D-90",
AND(I906&gt;=58,I906&lt;=62),"D-60",
AND(I906&gt;=28,I906&lt;=32),"D-30",
AND(I906=0),"당월",
TRUE,"그외")</f>
        <v>그외</v>
      </c>
    </row>
    <row r="907" spans="1:10" ht="17.649999999999999" customHeight="1" x14ac:dyDescent="0.3">
      <c r="A907" s="4">
        <v>46082</v>
      </c>
      <c r="B907" s="5" t="s">
        <v>11</v>
      </c>
      <c r="C907" s="4">
        <v>45962</v>
      </c>
      <c r="D907" s="5" t="s">
        <v>9</v>
      </c>
      <c r="E907" s="6">
        <v>319</v>
      </c>
      <c r="F907" s="6">
        <v>201928.84012539181</v>
      </c>
      <c r="G907" s="6">
        <v>64415300</v>
      </c>
      <c r="H907" s="6">
        <v>8517300</v>
      </c>
      <c r="I907" s="6">
        <f t="shared" si="14"/>
        <v>120</v>
      </c>
      <c r="J907" t="str" cm="1">
        <f t="array" ref="J907">_xlfn.IFS(
AND(I907&gt;=89,I907&lt;=92),"D-90",
AND(I907&gt;=58,I907&lt;=62),"D-60",
AND(I907&gt;=28,I907&lt;=32),"D-30",
AND(I907=0),"당월",
TRUE,"그외")</f>
        <v>그외</v>
      </c>
    </row>
    <row r="908" spans="1:10" ht="17.649999999999999" customHeight="1" x14ac:dyDescent="0.3">
      <c r="A908" s="4">
        <v>46082</v>
      </c>
      <c r="B908" s="5" t="s">
        <v>11</v>
      </c>
      <c r="C908" s="4">
        <v>45962</v>
      </c>
      <c r="D908" s="5" t="s">
        <v>10</v>
      </c>
      <c r="E908" s="6">
        <v>370</v>
      </c>
      <c r="F908" s="6">
        <v>209474.4756756757</v>
      </c>
      <c r="G908" s="6">
        <v>77505556</v>
      </c>
      <c r="H908" s="6">
        <v>9896460</v>
      </c>
      <c r="I908" s="6">
        <f t="shared" si="14"/>
        <v>120</v>
      </c>
      <c r="J908" t="str" cm="1">
        <f t="array" ref="J908">_xlfn.IFS(
AND(I908&gt;=89,I908&lt;=92),"D-90",
AND(I908&gt;=58,I908&lt;=62),"D-60",
AND(I908&gt;=28,I908&lt;=32),"D-30",
AND(I908=0),"당월",
TRUE,"그외")</f>
        <v>그외</v>
      </c>
    </row>
    <row r="909" spans="1:10" ht="17.649999999999999" customHeight="1" x14ac:dyDescent="0.3">
      <c r="A909" s="4">
        <v>46082</v>
      </c>
      <c r="B909" s="5" t="s">
        <v>11</v>
      </c>
      <c r="C909" s="4">
        <v>45992</v>
      </c>
      <c r="D909" s="5" t="s">
        <v>9</v>
      </c>
      <c r="E909" s="6">
        <v>437</v>
      </c>
      <c r="F909" s="6">
        <v>183970.0228832952</v>
      </c>
      <c r="G909" s="6">
        <v>80394900</v>
      </c>
      <c r="H909" s="6">
        <v>13852900</v>
      </c>
      <c r="I909" s="6">
        <f t="shared" si="14"/>
        <v>90</v>
      </c>
      <c r="J909" t="str" cm="1">
        <f t="array" ref="J909">_xlfn.IFS(
AND(I909&gt;=89,I909&lt;=92),"D-90",
AND(I909&gt;=58,I909&lt;=62),"D-60",
AND(I909&gt;=28,I909&lt;=32),"D-30",
AND(I909=0),"당월",
TRUE,"그외")</f>
        <v>D-90</v>
      </c>
    </row>
    <row r="910" spans="1:10" ht="17.649999999999999" customHeight="1" x14ac:dyDescent="0.3">
      <c r="A910" s="4">
        <v>46082</v>
      </c>
      <c r="B910" s="5" t="s">
        <v>11</v>
      </c>
      <c r="C910" s="4">
        <v>45992</v>
      </c>
      <c r="D910" s="5" t="s">
        <v>10</v>
      </c>
      <c r="E910" s="6">
        <v>608</v>
      </c>
      <c r="F910" s="6">
        <v>209063.43585526309</v>
      </c>
      <c r="G910" s="6">
        <v>127110569</v>
      </c>
      <c r="H910" s="6">
        <v>19262155</v>
      </c>
      <c r="I910" s="6">
        <f t="shared" si="14"/>
        <v>90</v>
      </c>
      <c r="J910" t="str" cm="1">
        <f t="array" ref="J910">_xlfn.IFS(
AND(I910&gt;=89,I910&lt;=92),"D-90",
AND(I910&gt;=58,I910&lt;=62),"D-60",
AND(I910&gt;=28,I910&lt;=32),"D-30",
AND(I910=0),"당월",
TRUE,"그외")</f>
        <v>D-90</v>
      </c>
    </row>
    <row r="911" spans="1:10" ht="17.649999999999999" customHeight="1" x14ac:dyDescent="0.3">
      <c r="A911" s="4">
        <v>46082</v>
      </c>
      <c r="B911" s="5" t="s">
        <v>11</v>
      </c>
      <c r="C911" s="4">
        <v>46023</v>
      </c>
      <c r="D911" s="5" t="s">
        <v>9</v>
      </c>
      <c r="E911" s="6">
        <v>1730</v>
      </c>
      <c r="F911" s="6">
        <v>162214.10404624281</v>
      </c>
      <c r="G911" s="6">
        <v>280630400</v>
      </c>
      <c r="H911" s="6">
        <v>55873400</v>
      </c>
      <c r="I911" s="6">
        <f t="shared" si="14"/>
        <v>59</v>
      </c>
      <c r="J911" t="str" cm="1">
        <f t="array" ref="J911">_xlfn.IFS(
AND(I911&gt;=89,I911&lt;=92),"D-90",
AND(I911&gt;=58,I911&lt;=62),"D-60",
AND(I911&gt;=28,I911&lt;=32),"D-30",
AND(I911=0),"당월",
TRUE,"그외")</f>
        <v>D-60</v>
      </c>
    </row>
    <row r="912" spans="1:10" ht="17.649999999999999" customHeight="1" x14ac:dyDescent="0.3">
      <c r="A912" s="4">
        <v>46082</v>
      </c>
      <c r="B912" s="5" t="s">
        <v>11</v>
      </c>
      <c r="C912" s="4">
        <v>46023</v>
      </c>
      <c r="D912" s="5" t="s">
        <v>10</v>
      </c>
      <c r="E912" s="6">
        <v>2172</v>
      </c>
      <c r="F912" s="6">
        <v>195899.25598526699</v>
      </c>
      <c r="G912" s="6">
        <v>425493184</v>
      </c>
      <c r="H912" s="6">
        <v>70124288</v>
      </c>
      <c r="I912" s="6">
        <f t="shared" si="14"/>
        <v>59</v>
      </c>
      <c r="J912" t="str" cm="1">
        <f t="array" ref="J912">_xlfn.IFS(
AND(I912&gt;=89,I912&lt;=92),"D-90",
AND(I912&gt;=58,I912&lt;=62),"D-60",
AND(I912&gt;=28,I912&lt;=32),"D-30",
AND(I912=0),"당월",
TRUE,"그외")</f>
        <v>D-60</v>
      </c>
    </row>
    <row r="913" spans="1:10" ht="17.649999999999999" customHeight="1" x14ac:dyDescent="0.3">
      <c r="A913" s="4">
        <v>46082</v>
      </c>
      <c r="B913" s="5" t="s">
        <v>11</v>
      </c>
      <c r="C913" s="4">
        <v>46054</v>
      </c>
      <c r="D913" s="5" t="s">
        <v>9</v>
      </c>
      <c r="E913" s="6">
        <v>1849</v>
      </c>
      <c r="F913" s="6">
        <v>157393.94267171441</v>
      </c>
      <c r="G913" s="6">
        <v>291021400</v>
      </c>
      <c r="H913" s="6">
        <v>40683400</v>
      </c>
      <c r="I913" s="6">
        <f t="shared" si="14"/>
        <v>28</v>
      </c>
      <c r="J913" t="str" cm="1">
        <f t="array" ref="J913">_xlfn.IFS(
AND(I913&gt;=89,I913&lt;=92),"D-90",
AND(I913&gt;=58,I913&lt;=62),"D-60",
AND(I913&gt;=28,I913&lt;=32),"D-30",
AND(I913=0),"당월",
TRUE,"그외")</f>
        <v>D-30</v>
      </c>
    </row>
    <row r="914" spans="1:10" ht="17.649999999999999" customHeight="1" x14ac:dyDescent="0.3">
      <c r="A914" s="4">
        <v>46082</v>
      </c>
      <c r="B914" s="5" t="s">
        <v>11</v>
      </c>
      <c r="C914" s="4">
        <v>46054</v>
      </c>
      <c r="D914" s="5" t="s">
        <v>10</v>
      </c>
      <c r="E914" s="6">
        <v>1573</v>
      </c>
      <c r="F914" s="6">
        <v>192566.09599491421</v>
      </c>
      <c r="G914" s="6">
        <v>302906469</v>
      </c>
      <c r="H914" s="6">
        <v>35697981</v>
      </c>
      <c r="I914" s="6">
        <f t="shared" si="14"/>
        <v>28</v>
      </c>
      <c r="J914" t="str" cm="1">
        <f t="array" ref="J914">_xlfn.IFS(
AND(I914&gt;=89,I914&lt;=92),"D-90",
AND(I914&gt;=58,I914&lt;=62),"D-60",
AND(I914&gt;=28,I914&lt;=32),"D-30",
AND(I914=0),"당월",
TRUE,"그외")</f>
        <v>D-30</v>
      </c>
    </row>
    <row r="915" spans="1:10" ht="17.649999999999999" customHeight="1" x14ac:dyDescent="0.3">
      <c r="A915" s="4">
        <v>46082</v>
      </c>
      <c r="B915" s="5" t="s">
        <v>11</v>
      </c>
      <c r="C915" s="4">
        <v>46082</v>
      </c>
      <c r="D915" s="5" t="s">
        <v>9</v>
      </c>
      <c r="E915" s="6">
        <v>49</v>
      </c>
      <c r="F915" s="6">
        <v>156340.81632653059</v>
      </c>
      <c r="G915" s="6">
        <v>7660700</v>
      </c>
      <c r="H915" s="6">
        <v>1328700</v>
      </c>
      <c r="I915" s="6">
        <f t="shared" si="14"/>
        <v>0</v>
      </c>
      <c r="J915" t="str" cm="1">
        <f t="array" ref="J915">_xlfn.IFS(
AND(I915&gt;=89,I915&lt;=92),"D-90",
AND(I915&gt;=58,I915&lt;=62),"D-60",
AND(I915&gt;=28,I915&lt;=32),"D-30",
AND(I915=0),"당월",
TRUE,"그외")</f>
        <v>당월</v>
      </c>
    </row>
    <row r="916" spans="1:10" ht="17.649999999999999" customHeight="1" x14ac:dyDescent="0.3">
      <c r="A916" s="4">
        <v>46082</v>
      </c>
      <c r="B916" s="5" t="s">
        <v>11</v>
      </c>
      <c r="C916" s="4">
        <v>46082</v>
      </c>
      <c r="D916" s="5" t="s">
        <v>10</v>
      </c>
      <c r="E916" s="6">
        <v>553</v>
      </c>
      <c r="F916" s="6">
        <v>202299.2513562387</v>
      </c>
      <c r="G916" s="6">
        <v>111871486</v>
      </c>
      <c r="H916" s="6">
        <v>16426328</v>
      </c>
      <c r="I916" s="6">
        <f t="shared" si="14"/>
        <v>0</v>
      </c>
      <c r="J916" t="str" cm="1">
        <f t="array" ref="J916">_xlfn.IFS(
AND(I916&gt;=89,I916&lt;=92),"D-90",
AND(I916&gt;=58,I916&lt;=62),"D-60",
AND(I916&gt;=28,I916&lt;=32),"D-30",
AND(I916=0),"당월",
TRUE,"그외")</f>
        <v>당월</v>
      </c>
    </row>
    <row r="917" spans="1:10" ht="17.649999999999999" customHeight="1" x14ac:dyDescent="0.3">
      <c r="A917" s="4">
        <v>46082</v>
      </c>
      <c r="B917" s="5" t="s">
        <v>12</v>
      </c>
      <c r="C917" s="4">
        <v>45870</v>
      </c>
      <c r="D917" s="5" t="s">
        <v>10</v>
      </c>
      <c r="E917" s="6">
        <v>36</v>
      </c>
      <c r="F917" s="6">
        <v>236408.80555555559</v>
      </c>
      <c r="G917" s="6">
        <v>8510717</v>
      </c>
      <c r="H917" s="6">
        <v>1094251</v>
      </c>
      <c r="I917" s="6">
        <f t="shared" si="14"/>
        <v>212</v>
      </c>
      <c r="J917" t="str" cm="1">
        <f t="array" ref="J917">_xlfn.IFS(
AND(I917&gt;=89,I917&lt;=92),"D-90",
AND(I917&gt;=58,I917&lt;=62),"D-60",
AND(I917&gt;=28,I917&lt;=32),"D-30",
AND(I917=0),"당월",
TRUE,"그외")</f>
        <v>그외</v>
      </c>
    </row>
    <row r="918" spans="1:10" ht="17.649999999999999" customHeight="1" x14ac:dyDescent="0.3">
      <c r="A918" s="4">
        <v>46082</v>
      </c>
      <c r="B918" s="5" t="s">
        <v>12</v>
      </c>
      <c r="C918" s="4">
        <v>45901</v>
      </c>
      <c r="D918" s="5" t="s">
        <v>10</v>
      </c>
      <c r="E918" s="6">
        <v>45</v>
      </c>
      <c r="F918" s="6">
        <v>222442.22222222219</v>
      </c>
      <c r="G918" s="6">
        <v>10009900</v>
      </c>
      <c r="H918" s="6">
        <v>1183500</v>
      </c>
      <c r="I918" s="6">
        <f t="shared" si="14"/>
        <v>181</v>
      </c>
      <c r="J918" t="str" cm="1">
        <f t="array" ref="J918">_xlfn.IFS(
AND(I918&gt;=89,I918&lt;=92),"D-90",
AND(I918&gt;=58,I918&lt;=62),"D-60",
AND(I918&gt;=28,I918&lt;=32),"D-30",
AND(I918=0),"당월",
TRUE,"그외")</f>
        <v>그외</v>
      </c>
    </row>
    <row r="919" spans="1:10" ht="17.649999999999999" customHeight="1" x14ac:dyDescent="0.3">
      <c r="A919" s="4">
        <v>46082</v>
      </c>
      <c r="B919" s="5" t="s">
        <v>12</v>
      </c>
      <c r="C919" s="4">
        <v>45931</v>
      </c>
      <c r="D919" s="5" t="s">
        <v>10</v>
      </c>
      <c r="E919" s="6">
        <v>95</v>
      </c>
      <c r="F919" s="6">
        <v>236804.21052631579</v>
      </c>
      <c r="G919" s="6">
        <v>22496400</v>
      </c>
      <c r="H919" s="6">
        <v>2508000</v>
      </c>
      <c r="I919" s="6">
        <f t="shared" si="14"/>
        <v>151</v>
      </c>
      <c r="J919" t="str" cm="1">
        <f t="array" ref="J919">_xlfn.IFS(
AND(I919&gt;=89,I919&lt;=92),"D-90",
AND(I919&gt;=58,I919&lt;=62),"D-60",
AND(I919&gt;=28,I919&lt;=32),"D-30",
AND(I919=0),"당월",
TRUE,"그외")</f>
        <v>그외</v>
      </c>
    </row>
    <row r="920" spans="1:10" ht="17.649999999999999" customHeight="1" x14ac:dyDescent="0.3">
      <c r="A920" s="4">
        <v>46082</v>
      </c>
      <c r="B920" s="5" t="s">
        <v>12</v>
      </c>
      <c r="C920" s="4">
        <v>45962</v>
      </c>
      <c r="D920" s="5" t="s">
        <v>9</v>
      </c>
      <c r="E920" s="6">
        <v>14</v>
      </c>
      <c r="F920" s="6">
        <v>205271.42857142861</v>
      </c>
      <c r="G920" s="6">
        <v>2873800</v>
      </c>
      <c r="H920" s="6">
        <v>373800</v>
      </c>
      <c r="I920" s="6">
        <f t="shared" si="14"/>
        <v>120</v>
      </c>
      <c r="J920" t="str" cm="1">
        <f t="array" ref="J920">_xlfn.IFS(
AND(I920&gt;=89,I920&lt;=92),"D-90",
AND(I920&gt;=58,I920&lt;=62),"D-60",
AND(I920&gt;=28,I920&lt;=32),"D-30",
AND(I920=0),"당월",
TRUE,"그외")</f>
        <v>그외</v>
      </c>
    </row>
    <row r="921" spans="1:10" ht="17.649999999999999" customHeight="1" x14ac:dyDescent="0.3">
      <c r="A921" s="4">
        <v>46082</v>
      </c>
      <c r="B921" s="5" t="s">
        <v>12</v>
      </c>
      <c r="C921" s="4">
        <v>45962</v>
      </c>
      <c r="D921" s="5" t="s">
        <v>10</v>
      </c>
      <c r="E921" s="6">
        <v>170</v>
      </c>
      <c r="F921" s="6">
        <v>196150.60588235289</v>
      </c>
      <c r="G921" s="6">
        <v>33345603</v>
      </c>
      <c r="H921" s="6">
        <v>4667339</v>
      </c>
      <c r="I921" s="6">
        <f t="shared" si="14"/>
        <v>120</v>
      </c>
      <c r="J921" t="str" cm="1">
        <f t="array" ref="J921">_xlfn.IFS(
AND(I921&gt;=89,I921&lt;=92),"D-90",
AND(I921&gt;=58,I921&lt;=62),"D-60",
AND(I921&gt;=28,I921&lt;=32),"D-30",
AND(I921=0),"당월",
TRUE,"그외")</f>
        <v>그외</v>
      </c>
    </row>
    <row r="922" spans="1:10" ht="17.649999999999999" customHeight="1" x14ac:dyDescent="0.3">
      <c r="A922" s="4">
        <v>46082</v>
      </c>
      <c r="B922" s="5" t="s">
        <v>12</v>
      </c>
      <c r="C922" s="4">
        <v>45992</v>
      </c>
      <c r="D922" s="5" t="s">
        <v>9</v>
      </c>
      <c r="E922" s="6">
        <v>407</v>
      </c>
      <c r="F922" s="6">
        <v>161270.0245700246</v>
      </c>
      <c r="G922" s="6">
        <v>65636900</v>
      </c>
      <c r="H922" s="6">
        <v>12901900</v>
      </c>
      <c r="I922" s="6">
        <f t="shared" si="14"/>
        <v>90</v>
      </c>
      <c r="J922" t="str" cm="1">
        <f t="array" ref="J922">_xlfn.IFS(
AND(I922&gt;=89,I922&lt;=92),"D-90",
AND(I922&gt;=58,I922&lt;=62),"D-60",
AND(I922&gt;=28,I922&lt;=32),"D-30",
AND(I922=0),"당월",
TRUE,"그외")</f>
        <v>D-90</v>
      </c>
    </row>
    <row r="923" spans="1:10" ht="17.649999999999999" customHeight="1" x14ac:dyDescent="0.3">
      <c r="A923" s="4">
        <v>46082</v>
      </c>
      <c r="B923" s="5" t="s">
        <v>12</v>
      </c>
      <c r="C923" s="4">
        <v>45992</v>
      </c>
      <c r="D923" s="5" t="s">
        <v>10</v>
      </c>
      <c r="E923" s="6">
        <v>421</v>
      </c>
      <c r="F923" s="6">
        <v>179627.79097387171</v>
      </c>
      <c r="G923" s="6">
        <v>75623300</v>
      </c>
      <c r="H923" s="6">
        <v>13325700</v>
      </c>
      <c r="I923" s="6">
        <f t="shared" si="14"/>
        <v>90</v>
      </c>
      <c r="J923" t="str" cm="1">
        <f t="array" ref="J923">_xlfn.IFS(
AND(I923&gt;=89,I923&lt;=92),"D-90",
AND(I923&gt;=58,I923&lt;=62),"D-60",
AND(I923&gt;=28,I923&lt;=32),"D-30",
AND(I923=0),"당월",
TRUE,"그외")</f>
        <v>D-90</v>
      </c>
    </row>
    <row r="924" spans="1:10" ht="17.649999999999999" customHeight="1" x14ac:dyDescent="0.3">
      <c r="A924" s="4">
        <v>46082</v>
      </c>
      <c r="B924" s="5" t="s">
        <v>12</v>
      </c>
      <c r="C924" s="4">
        <v>46023</v>
      </c>
      <c r="D924" s="5" t="s">
        <v>9</v>
      </c>
      <c r="E924" s="6">
        <v>64</v>
      </c>
      <c r="F924" s="6">
        <v>170425</v>
      </c>
      <c r="G924" s="6">
        <v>10907200</v>
      </c>
      <c r="H924" s="6">
        <v>2067200</v>
      </c>
      <c r="I924" s="6">
        <f t="shared" si="14"/>
        <v>59</v>
      </c>
      <c r="J924" t="str" cm="1">
        <f t="array" ref="J924">_xlfn.IFS(
AND(I924&gt;=89,I924&lt;=92),"D-90",
AND(I924&gt;=58,I924&lt;=62),"D-60",
AND(I924&gt;=28,I924&lt;=32),"D-30",
AND(I924=0),"당월",
TRUE,"그외")</f>
        <v>D-60</v>
      </c>
    </row>
    <row r="925" spans="1:10" ht="17.649999999999999" customHeight="1" x14ac:dyDescent="0.3">
      <c r="A925" s="4">
        <v>46082</v>
      </c>
      <c r="B925" s="5" t="s">
        <v>12</v>
      </c>
      <c r="C925" s="4">
        <v>46023</v>
      </c>
      <c r="D925" s="5" t="s">
        <v>10</v>
      </c>
      <c r="E925" s="6">
        <v>1876</v>
      </c>
      <c r="F925" s="6">
        <v>175279.77505330491</v>
      </c>
      <c r="G925" s="6">
        <v>328824858</v>
      </c>
      <c r="H925" s="6">
        <v>61352533</v>
      </c>
      <c r="I925" s="6">
        <f t="shared" si="14"/>
        <v>59</v>
      </c>
      <c r="J925" t="str" cm="1">
        <f t="array" ref="J925">_xlfn.IFS(
AND(I925&gt;=89,I925&lt;=92),"D-90",
AND(I925&gt;=58,I925&lt;=62),"D-60",
AND(I925&gt;=28,I925&lt;=32),"D-30",
AND(I925=0),"당월",
TRUE,"그외")</f>
        <v>D-60</v>
      </c>
    </row>
    <row r="926" spans="1:10" ht="17.649999999999999" customHeight="1" x14ac:dyDescent="0.3">
      <c r="A926" s="4">
        <v>46082</v>
      </c>
      <c r="B926" s="5" t="s">
        <v>12</v>
      </c>
      <c r="C926" s="4">
        <v>46054</v>
      </c>
      <c r="D926" s="5" t="s">
        <v>9</v>
      </c>
      <c r="E926" s="6">
        <v>3575</v>
      </c>
      <c r="F926" s="6">
        <v>151203.91608391609</v>
      </c>
      <c r="G926" s="6">
        <v>540554000</v>
      </c>
      <c r="H926" s="6">
        <v>78717000</v>
      </c>
      <c r="I926" s="6">
        <f t="shared" si="14"/>
        <v>28</v>
      </c>
      <c r="J926" t="str" cm="1">
        <f t="array" ref="J926">_xlfn.IFS(
AND(I926&gt;=89,I926&lt;=92),"D-90",
AND(I926&gt;=58,I926&lt;=62),"D-60",
AND(I926&gt;=28,I926&lt;=32),"D-30",
AND(I926=0),"당월",
TRUE,"그외")</f>
        <v>D-30</v>
      </c>
    </row>
    <row r="927" spans="1:10" ht="17.649999999999999" customHeight="1" x14ac:dyDescent="0.3">
      <c r="A927" s="4">
        <v>46082</v>
      </c>
      <c r="B927" s="5" t="s">
        <v>12</v>
      </c>
      <c r="C927" s="4">
        <v>46054</v>
      </c>
      <c r="D927" s="5" t="s">
        <v>10</v>
      </c>
      <c r="E927" s="6">
        <v>1810</v>
      </c>
      <c r="F927" s="6">
        <v>197332.0767955801</v>
      </c>
      <c r="G927" s="6">
        <v>357171059</v>
      </c>
      <c r="H927" s="6">
        <v>43783945</v>
      </c>
      <c r="I927" s="6">
        <f t="shared" si="14"/>
        <v>28</v>
      </c>
      <c r="J927" t="str" cm="1">
        <f t="array" ref="J927">_xlfn.IFS(
AND(I927&gt;=89,I927&lt;=92),"D-90",
AND(I927&gt;=58,I927&lt;=62),"D-60",
AND(I927&gt;=28,I927&lt;=32),"D-30",
AND(I927=0),"당월",
TRUE,"그외")</f>
        <v>D-30</v>
      </c>
    </row>
    <row r="928" spans="1:10" ht="17.649999999999999" customHeight="1" x14ac:dyDescent="0.3">
      <c r="A928" s="4">
        <v>46082</v>
      </c>
      <c r="B928" s="5" t="s">
        <v>12</v>
      </c>
      <c r="C928" s="4">
        <v>46082</v>
      </c>
      <c r="D928" s="5" t="s">
        <v>9</v>
      </c>
      <c r="E928" s="6">
        <v>541</v>
      </c>
      <c r="F928" s="6">
        <v>145166.17375231051</v>
      </c>
      <c r="G928" s="6">
        <v>78534900</v>
      </c>
      <c r="H928" s="6">
        <v>14959900</v>
      </c>
      <c r="I928" s="6">
        <f t="shared" si="14"/>
        <v>0</v>
      </c>
      <c r="J928" t="str" cm="1">
        <f t="array" ref="J928">_xlfn.IFS(
AND(I928&gt;=89,I928&lt;=92),"D-90",
AND(I928&gt;=58,I928&lt;=62),"D-60",
AND(I928&gt;=28,I928&lt;=32),"D-30",
AND(I928=0),"당월",
TRUE,"그외")</f>
        <v>당월</v>
      </c>
    </row>
    <row r="929" spans="1:10" ht="17.649999999999999" customHeight="1" x14ac:dyDescent="0.3">
      <c r="A929" s="4">
        <v>46082</v>
      </c>
      <c r="B929" s="5" t="s">
        <v>12</v>
      </c>
      <c r="C929" s="4">
        <v>46082</v>
      </c>
      <c r="D929" s="5" t="s">
        <v>10</v>
      </c>
      <c r="E929" s="6">
        <v>1137</v>
      </c>
      <c r="F929" s="6">
        <v>210537.55057167989</v>
      </c>
      <c r="G929" s="6">
        <v>239381195</v>
      </c>
      <c r="H929" s="6">
        <v>36407051</v>
      </c>
      <c r="I929" s="6">
        <f t="shared" si="14"/>
        <v>0</v>
      </c>
      <c r="J929" t="str" cm="1">
        <f t="array" ref="J929">_xlfn.IFS(
AND(I929&gt;=89,I929&lt;=92),"D-90",
AND(I929&gt;=58,I929&lt;=62),"D-60",
AND(I929&gt;=28,I929&lt;=32),"D-30",
AND(I929=0),"당월",
TRUE,"그외")</f>
        <v>당월</v>
      </c>
    </row>
    <row r="930" spans="1:10" ht="17.649999999999999" customHeight="1" x14ac:dyDescent="0.3">
      <c r="A930" s="4">
        <v>46082</v>
      </c>
      <c r="B930" s="5" t="s">
        <v>13</v>
      </c>
      <c r="C930" s="4">
        <v>45839</v>
      </c>
      <c r="D930" s="5" t="s">
        <v>10</v>
      </c>
      <c r="E930" s="6">
        <v>28</v>
      </c>
      <c r="F930" s="6">
        <v>237927.1428571429</v>
      </c>
      <c r="G930" s="6">
        <v>6661960</v>
      </c>
      <c r="H930" s="6">
        <v>511560</v>
      </c>
      <c r="I930" s="6">
        <f t="shared" si="14"/>
        <v>243</v>
      </c>
      <c r="J930" t="str" cm="1">
        <f t="array" ref="J930">_xlfn.IFS(
AND(I930&gt;=89,I930&lt;=92),"D-90",
AND(I930&gt;=58,I930&lt;=62),"D-60",
AND(I930&gt;=28,I930&lt;=32),"D-30",
AND(I930=0),"당월",
TRUE,"그외")</f>
        <v>그외</v>
      </c>
    </row>
    <row r="931" spans="1:10" ht="17.649999999999999" customHeight="1" x14ac:dyDescent="0.3">
      <c r="A931" s="4">
        <v>46082</v>
      </c>
      <c r="B931" s="5" t="s">
        <v>13</v>
      </c>
      <c r="C931" s="4">
        <v>45870</v>
      </c>
      <c r="D931" s="5" t="s">
        <v>10</v>
      </c>
      <c r="E931" s="6">
        <v>29</v>
      </c>
      <c r="F931" s="6">
        <v>232344.8275862069</v>
      </c>
      <c r="G931" s="6">
        <v>6738000</v>
      </c>
      <c r="H931" s="6">
        <v>754000</v>
      </c>
      <c r="I931" s="6">
        <f t="shared" si="14"/>
        <v>212</v>
      </c>
      <c r="J931" t="str" cm="1">
        <f t="array" ref="J931">_xlfn.IFS(
AND(I931&gt;=89,I931&lt;=92),"D-90",
AND(I931&gt;=58,I931&lt;=62),"D-60",
AND(I931&gt;=28,I931&lt;=32),"D-30",
AND(I931=0),"당월",
TRUE,"그외")</f>
        <v>그외</v>
      </c>
    </row>
    <row r="932" spans="1:10" ht="17.649999999999999" customHeight="1" x14ac:dyDescent="0.3">
      <c r="A932" s="4">
        <v>46082</v>
      </c>
      <c r="B932" s="5" t="s">
        <v>13</v>
      </c>
      <c r="C932" s="4">
        <v>45901</v>
      </c>
      <c r="D932" s="5" t="s">
        <v>10</v>
      </c>
      <c r="E932" s="6">
        <v>15</v>
      </c>
      <c r="F932" s="6">
        <v>190386.66666666669</v>
      </c>
      <c r="G932" s="6">
        <v>2855800</v>
      </c>
      <c r="H932" s="6">
        <v>394500</v>
      </c>
      <c r="I932" s="6">
        <f t="shared" si="14"/>
        <v>181</v>
      </c>
      <c r="J932" t="str" cm="1">
        <f t="array" ref="J932">_xlfn.IFS(
AND(I932&gt;=89,I932&lt;=92),"D-90",
AND(I932&gt;=58,I932&lt;=62),"D-60",
AND(I932&gt;=28,I932&lt;=32),"D-30",
AND(I932=0),"당월",
TRUE,"그외")</f>
        <v>그외</v>
      </c>
    </row>
    <row r="933" spans="1:10" ht="17.649999999999999" customHeight="1" x14ac:dyDescent="0.3">
      <c r="A933" s="4">
        <v>46082</v>
      </c>
      <c r="B933" s="5" t="s">
        <v>13</v>
      </c>
      <c r="C933" s="4">
        <v>45931</v>
      </c>
      <c r="D933" s="5" t="s">
        <v>10</v>
      </c>
      <c r="E933" s="6">
        <v>41</v>
      </c>
      <c r="F933" s="6">
        <v>180834.8292682927</v>
      </c>
      <c r="G933" s="6">
        <v>7414228</v>
      </c>
      <c r="H933" s="6">
        <v>1082400</v>
      </c>
      <c r="I933" s="6">
        <f t="shared" si="14"/>
        <v>151</v>
      </c>
      <c r="J933" t="str" cm="1">
        <f t="array" ref="J933">_xlfn.IFS(
AND(I933&gt;=89,I933&lt;=92),"D-90",
AND(I933&gt;=58,I933&lt;=62),"D-60",
AND(I933&gt;=28,I933&lt;=32),"D-30",
AND(I933=0),"당월",
TRUE,"그외")</f>
        <v>그외</v>
      </c>
    </row>
    <row r="934" spans="1:10" ht="17.649999999999999" customHeight="1" x14ac:dyDescent="0.3">
      <c r="A934" s="4">
        <v>46082</v>
      </c>
      <c r="B934" s="5" t="s">
        <v>13</v>
      </c>
      <c r="C934" s="4">
        <v>45962</v>
      </c>
      <c r="D934" s="5" t="s">
        <v>9</v>
      </c>
      <c r="E934" s="6">
        <v>5</v>
      </c>
      <c r="F934" s="6">
        <v>326700</v>
      </c>
      <c r="G934" s="6">
        <v>1633500</v>
      </c>
      <c r="H934" s="6">
        <v>133500</v>
      </c>
      <c r="I934" s="6">
        <f t="shared" si="14"/>
        <v>120</v>
      </c>
      <c r="J934" t="str" cm="1">
        <f t="array" ref="J934">_xlfn.IFS(
AND(I934&gt;=89,I934&lt;=92),"D-90",
AND(I934&gt;=58,I934&lt;=62),"D-60",
AND(I934&gt;=28,I934&lt;=32),"D-30",
AND(I934=0),"당월",
TRUE,"그외")</f>
        <v>그외</v>
      </c>
    </row>
    <row r="935" spans="1:10" ht="17.649999999999999" customHeight="1" x14ac:dyDescent="0.3">
      <c r="A935" s="4">
        <v>46082</v>
      </c>
      <c r="B935" s="5" t="s">
        <v>13</v>
      </c>
      <c r="C935" s="4">
        <v>45962</v>
      </c>
      <c r="D935" s="5" t="s">
        <v>10</v>
      </c>
      <c r="E935" s="6">
        <v>112</v>
      </c>
      <c r="F935" s="6">
        <v>165054.2321428571</v>
      </c>
      <c r="G935" s="6">
        <v>18486074</v>
      </c>
      <c r="H935" s="6">
        <v>3024240</v>
      </c>
      <c r="I935" s="6">
        <f t="shared" si="14"/>
        <v>120</v>
      </c>
      <c r="J935" t="str" cm="1">
        <f t="array" ref="J935">_xlfn.IFS(
AND(I935&gt;=89,I935&lt;=92),"D-90",
AND(I935&gt;=58,I935&lt;=62),"D-60",
AND(I935&gt;=28,I935&lt;=32),"D-30",
AND(I935=0),"당월",
TRUE,"그외")</f>
        <v>그외</v>
      </c>
    </row>
    <row r="936" spans="1:10" ht="17.649999999999999" customHeight="1" x14ac:dyDescent="0.3">
      <c r="A936" s="4">
        <v>46082</v>
      </c>
      <c r="B936" s="5" t="s">
        <v>13</v>
      </c>
      <c r="C936" s="4">
        <v>45992</v>
      </c>
      <c r="D936" s="5" t="s">
        <v>9</v>
      </c>
      <c r="E936" s="6">
        <v>12</v>
      </c>
      <c r="F936" s="6">
        <v>281700</v>
      </c>
      <c r="G936" s="6">
        <v>3380400</v>
      </c>
      <c r="H936" s="6">
        <v>380400</v>
      </c>
      <c r="I936" s="6">
        <f t="shared" si="14"/>
        <v>90</v>
      </c>
      <c r="J936" t="str" cm="1">
        <f t="array" ref="J936">_xlfn.IFS(
AND(I936&gt;=89,I936&lt;=92),"D-90",
AND(I936&gt;=58,I936&lt;=62),"D-60",
AND(I936&gt;=28,I936&lt;=32),"D-30",
AND(I936=0),"당월",
TRUE,"그외")</f>
        <v>D-90</v>
      </c>
    </row>
    <row r="937" spans="1:10" ht="17.649999999999999" customHeight="1" x14ac:dyDescent="0.3">
      <c r="A937" s="4">
        <v>46082</v>
      </c>
      <c r="B937" s="5" t="s">
        <v>13</v>
      </c>
      <c r="C937" s="4">
        <v>45992</v>
      </c>
      <c r="D937" s="5" t="s">
        <v>10</v>
      </c>
      <c r="E937" s="6">
        <v>200</v>
      </c>
      <c r="F937" s="6">
        <v>171131.21</v>
      </c>
      <c r="G937" s="6">
        <v>34226242</v>
      </c>
      <c r="H937" s="6">
        <v>6488484</v>
      </c>
      <c r="I937" s="6">
        <f t="shared" si="14"/>
        <v>90</v>
      </c>
      <c r="J937" t="str" cm="1">
        <f t="array" ref="J937">_xlfn.IFS(
AND(I937&gt;=89,I937&lt;=92),"D-90",
AND(I937&gt;=58,I937&lt;=62),"D-60",
AND(I937&gt;=28,I937&lt;=32),"D-30",
AND(I937=0),"당월",
TRUE,"그외")</f>
        <v>D-90</v>
      </c>
    </row>
    <row r="938" spans="1:10" ht="17.649999999999999" customHeight="1" x14ac:dyDescent="0.3">
      <c r="A938" s="4">
        <v>46082</v>
      </c>
      <c r="B938" s="5" t="s">
        <v>13</v>
      </c>
      <c r="C938" s="4">
        <v>46023</v>
      </c>
      <c r="D938" s="5" t="s">
        <v>9</v>
      </c>
      <c r="E938" s="6">
        <v>327</v>
      </c>
      <c r="F938" s="6">
        <v>173088.99082568809</v>
      </c>
      <c r="G938" s="6">
        <v>56600100</v>
      </c>
      <c r="H938" s="6">
        <v>10562100</v>
      </c>
      <c r="I938" s="6">
        <f t="shared" si="14"/>
        <v>59</v>
      </c>
      <c r="J938" t="str" cm="1">
        <f t="array" ref="J938">_xlfn.IFS(
AND(I938&gt;=89,I938&lt;=92),"D-90",
AND(I938&gt;=58,I938&lt;=62),"D-60",
AND(I938&gt;=28,I938&lt;=32),"D-30",
AND(I938=0),"당월",
TRUE,"그외")</f>
        <v>D-60</v>
      </c>
    </row>
    <row r="939" spans="1:10" ht="17.649999999999999" customHeight="1" x14ac:dyDescent="0.3">
      <c r="A939" s="4">
        <v>46082</v>
      </c>
      <c r="B939" s="5" t="s">
        <v>13</v>
      </c>
      <c r="C939" s="4">
        <v>46023</v>
      </c>
      <c r="D939" s="5" t="s">
        <v>10</v>
      </c>
      <c r="E939" s="6">
        <v>668</v>
      </c>
      <c r="F939" s="6">
        <v>183158.86077844311</v>
      </c>
      <c r="G939" s="6">
        <v>122350119</v>
      </c>
      <c r="H939" s="6">
        <v>22319094</v>
      </c>
      <c r="I939" s="6">
        <f t="shared" si="14"/>
        <v>59</v>
      </c>
      <c r="J939" t="str" cm="1">
        <f t="array" ref="J939">_xlfn.IFS(
AND(I939&gt;=89,I939&lt;=92),"D-90",
AND(I939&gt;=58,I939&lt;=62),"D-60",
AND(I939&gt;=28,I939&lt;=32),"D-30",
AND(I939=0),"당월",
TRUE,"그외")</f>
        <v>D-60</v>
      </c>
    </row>
    <row r="940" spans="1:10" ht="17.649999999999999" customHeight="1" x14ac:dyDescent="0.3">
      <c r="A940" s="4">
        <v>46082</v>
      </c>
      <c r="B940" s="5" t="s">
        <v>13</v>
      </c>
      <c r="C940" s="4">
        <v>46054</v>
      </c>
      <c r="D940" s="5" t="s">
        <v>9</v>
      </c>
      <c r="E940" s="6">
        <v>364</v>
      </c>
      <c r="F940" s="6">
        <v>130329.67032967031</v>
      </c>
      <c r="G940" s="6">
        <v>47440000</v>
      </c>
      <c r="H940" s="6">
        <v>8008000</v>
      </c>
      <c r="I940" s="6">
        <f t="shared" si="14"/>
        <v>28</v>
      </c>
      <c r="J940" t="str" cm="1">
        <f t="array" ref="J940">_xlfn.IFS(
AND(I940&gt;=89,I940&lt;=92),"D-90",
AND(I940&gt;=58,I940&lt;=62),"D-60",
AND(I940&gt;=28,I940&lt;=32),"D-30",
AND(I940=0),"당월",
TRUE,"그외")</f>
        <v>D-30</v>
      </c>
    </row>
    <row r="941" spans="1:10" ht="17.649999999999999" customHeight="1" x14ac:dyDescent="0.3">
      <c r="A941" s="4">
        <v>46082</v>
      </c>
      <c r="B941" s="5" t="s">
        <v>13</v>
      </c>
      <c r="C941" s="4">
        <v>46054</v>
      </c>
      <c r="D941" s="5" t="s">
        <v>10</v>
      </c>
      <c r="E941" s="6">
        <v>765</v>
      </c>
      <c r="F941" s="6">
        <v>198883.2496732026</v>
      </c>
      <c r="G941" s="6">
        <v>152145686</v>
      </c>
      <c r="H941" s="6">
        <v>19388789</v>
      </c>
      <c r="I941" s="6">
        <f t="shared" si="14"/>
        <v>28</v>
      </c>
      <c r="J941" t="str" cm="1">
        <f t="array" ref="J941">_xlfn.IFS(
AND(I941&gt;=89,I941&lt;=92),"D-90",
AND(I941&gt;=58,I941&lt;=62),"D-60",
AND(I941&gt;=28,I941&lt;=32),"D-30",
AND(I941=0),"당월",
TRUE,"그외")</f>
        <v>D-30</v>
      </c>
    </row>
    <row r="942" spans="1:10" ht="17.649999999999999" customHeight="1" x14ac:dyDescent="0.3">
      <c r="A942" s="4">
        <v>46082</v>
      </c>
      <c r="B942" s="5" t="s">
        <v>13</v>
      </c>
      <c r="C942" s="4">
        <v>46082</v>
      </c>
      <c r="D942" s="5" t="s">
        <v>10</v>
      </c>
      <c r="E942" s="6">
        <v>109</v>
      </c>
      <c r="F942" s="6">
        <v>210461.40366972479</v>
      </c>
      <c r="G942" s="6">
        <v>22940293</v>
      </c>
      <c r="H942" s="6">
        <v>3743531</v>
      </c>
      <c r="I942" s="6">
        <f t="shared" si="14"/>
        <v>0</v>
      </c>
      <c r="J942" t="str" cm="1">
        <f t="array" ref="J942">_xlfn.IFS(
AND(I942&gt;=89,I942&lt;=92),"D-90",
AND(I942&gt;=58,I942&lt;=62),"D-60",
AND(I942&gt;=28,I942&lt;=32),"D-30",
AND(I942=0),"당월",
TRUE,"그외")</f>
        <v>당월</v>
      </c>
    </row>
    <row r="943" spans="1:10" ht="17.649999999999999" customHeight="1" x14ac:dyDescent="0.3">
      <c r="A943" s="4">
        <v>46113</v>
      </c>
      <c r="B943" s="5" t="s">
        <v>8</v>
      </c>
      <c r="C943" s="4">
        <v>45931</v>
      </c>
      <c r="D943" s="5" t="s">
        <v>10</v>
      </c>
      <c r="E943" s="6">
        <v>162</v>
      </c>
      <c r="F943" s="6">
        <v>183058.024691358</v>
      </c>
      <c r="G943" s="6">
        <v>29655400</v>
      </c>
      <c r="H943" s="6">
        <v>4357725</v>
      </c>
      <c r="I943" s="6">
        <f t="shared" si="14"/>
        <v>182</v>
      </c>
      <c r="J943" t="str" cm="1">
        <f t="array" ref="J943">_xlfn.IFS(
AND(I943&gt;=89,I943&lt;=92),"D-90",
AND(I943&gt;=58,I943&lt;=62),"D-60",
AND(I943&gt;=28,I943&lt;=32),"D-30",
AND(I943=0),"당월",
TRUE,"그외")</f>
        <v>그외</v>
      </c>
    </row>
    <row r="944" spans="1:10" ht="17.649999999999999" customHeight="1" x14ac:dyDescent="0.3">
      <c r="A944" s="4">
        <v>46113</v>
      </c>
      <c r="B944" s="5" t="s">
        <v>8</v>
      </c>
      <c r="C944" s="4">
        <v>45962</v>
      </c>
      <c r="D944" s="5" t="s">
        <v>10</v>
      </c>
      <c r="E944" s="6">
        <v>480</v>
      </c>
      <c r="F944" s="6">
        <v>175554.11249999999</v>
      </c>
      <c r="G944" s="6">
        <v>84265974</v>
      </c>
      <c r="H944" s="6">
        <v>13106221</v>
      </c>
      <c r="I944" s="6">
        <f t="shared" si="14"/>
        <v>151</v>
      </c>
      <c r="J944" t="str" cm="1">
        <f t="array" ref="J944">_xlfn.IFS(
AND(I944&gt;=89,I944&lt;=92),"D-90",
AND(I944&gt;=58,I944&lt;=62),"D-60",
AND(I944&gt;=28,I944&lt;=32),"D-30",
AND(I944=0),"당월",
TRUE,"그외")</f>
        <v>그외</v>
      </c>
    </row>
    <row r="945" spans="1:10" ht="17.649999999999999" customHeight="1" x14ac:dyDescent="0.3">
      <c r="A945" s="4">
        <v>46113</v>
      </c>
      <c r="B945" s="5" t="s">
        <v>8</v>
      </c>
      <c r="C945" s="4">
        <v>45992</v>
      </c>
      <c r="D945" s="5" t="s">
        <v>10</v>
      </c>
      <c r="E945" s="6">
        <v>540</v>
      </c>
      <c r="F945" s="6">
        <v>168476.49444444451</v>
      </c>
      <c r="G945" s="6">
        <v>90977307</v>
      </c>
      <c r="H945" s="6">
        <v>17117615</v>
      </c>
      <c r="I945" s="6">
        <f t="shared" si="14"/>
        <v>121</v>
      </c>
      <c r="J945" t="str" cm="1">
        <f t="array" ref="J945">_xlfn.IFS(
AND(I945&gt;=89,I945&lt;=92),"D-90",
AND(I945&gt;=58,I945&lt;=62),"D-60",
AND(I945&gt;=28,I945&lt;=32),"D-30",
AND(I945=0),"당월",
TRUE,"그외")</f>
        <v>그외</v>
      </c>
    </row>
    <row r="946" spans="1:10" ht="17.649999999999999" customHeight="1" x14ac:dyDescent="0.3">
      <c r="A946" s="4">
        <v>46113</v>
      </c>
      <c r="B946" s="5" t="s">
        <v>8</v>
      </c>
      <c r="C946" s="4">
        <v>46023</v>
      </c>
      <c r="D946" s="5" t="s">
        <v>9</v>
      </c>
      <c r="E946" s="6">
        <v>144</v>
      </c>
      <c r="F946" s="6">
        <v>124577.7777777778</v>
      </c>
      <c r="G946" s="6">
        <v>17939200</v>
      </c>
      <c r="H946" s="6">
        <v>4651200</v>
      </c>
      <c r="I946" s="6">
        <f t="shared" si="14"/>
        <v>90</v>
      </c>
      <c r="J946" t="str" cm="1">
        <f t="array" ref="J946">_xlfn.IFS(
AND(I946&gt;=89,I946&lt;=92),"D-90",
AND(I946&gt;=58,I946&lt;=62),"D-60",
AND(I946&gt;=28,I946&lt;=32),"D-30",
AND(I946=0),"당월",
TRUE,"그외")</f>
        <v>D-90</v>
      </c>
    </row>
    <row r="947" spans="1:10" ht="17.649999999999999" customHeight="1" x14ac:dyDescent="0.3">
      <c r="A947" s="4">
        <v>46113</v>
      </c>
      <c r="B947" s="5" t="s">
        <v>8</v>
      </c>
      <c r="C947" s="4">
        <v>46023</v>
      </c>
      <c r="D947" s="5" t="s">
        <v>10</v>
      </c>
      <c r="E947" s="6">
        <v>999</v>
      </c>
      <c r="F947" s="6">
        <v>183955.94394394389</v>
      </c>
      <c r="G947" s="6">
        <v>183771988</v>
      </c>
      <c r="H947" s="6">
        <v>31191708</v>
      </c>
      <c r="I947" s="6">
        <f t="shared" si="14"/>
        <v>90</v>
      </c>
      <c r="J947" t="str" cm="1">
        <f t="array" ref="J947">_xlfn.IFS(
AND(I947&gt;=89,I947&lt;=92),"D-90",
AND(I947&gt;=58,I947&lt;=62),"D-60",
AND(I947&gt;=28,I947&lt;=32),"D-30",
AND(I947=0),"당월",
TRUE,"그외")</f>
        <v>D-90</v>
      </c>
    </row>
    <row r="948" spans="1:10" ht="17.649999999999999" customHeight="1" x14ac:dyDescent="0.3">
      <c r="A948" s="4">
        <v>46113</v>
      </c>
      <c r="B948" s="5" t="s">
        <v>8</v>
      </c>
      <c r="C948" s="4">
        <v>46054</v>
      </c>
      <c r="D948" s="5" t="s">
        <v>9</v>
      </c>
      <c r="E948" s="6">
        <v>2089</v>
      </c>
      <c r="F948" s="6">
        <v>130007.9463858305</v>
      </c>
      <c r="G948" s="6">
        <v>271586600</v>
      </c>
      <c r="H948" s="6">
        <v>45978600</v>
      </c>
      <c r="I948" s="6">
        <f t="shared" si="14"/>
        <v>59</v>
      </c>
      <c r="J948" t="str" cm="1">
        <f t="array" ref="J948">_xlfn.IFS(
AND(I948&gt;=89,I948&lt;=92),"D-90",
AND(I948&gt;=58,I948&lt;=62),"D-60",
AND(I948&gt;=28,I948&lt;=32),"D-30",
AND(I948=0),"당월",
TRUE,"그외")</f>
        <v>D-60</v>
      </c>
    </row>
    <row r="949" spans="1:10" ht="17.649999999999999" customHeight="1" x14ac:dyDescent="0.3">
      <c r="A949" s="4">
        <v>46113</v>
      </c>
      <c r="B949" s="5" t="s">
        <v>8</v>
      </c>
      <c r="C949" s="4">
        <v>46054</v>
      </c>
      <c r="D949" s="5" t="s">
        <v>10</v>
      </c>
      <c r="E949" s="6">
        <v>1569</v>
      </c>
      <c r="F949" s="6">
        <v>176366.5379222435</v>
      </c>
      <c r="G949" s="6">
        <v>276719098</v>
      </c>
      <c r="H949" s="6">
        <v>35947430</v>
      </c>
      <c r="I949" s="6">
        <f t="shared" si="14"/>
        <v>59</v>
      </c>
      <c r="J949" t="str" cm="1">
        <f t="array" ref="J949">_xlfn.IFS(
AND(I949&gt;=89,I949&lt;=92),"D-90",
AND(I949&gt;=58,I949&lt;=62),"D-60",
AND(I949&gt;=28,I949&lt;=32),"D-30",
AND(I949=0),"당월",
TRUE,"그외")</f>
        <v>D-60</v>
      </c>
    </row>
    <row r="950" spans="1:10" ht="17.649999999999999" customHeight="1" x14ac:dyDescent="0.3">
      <c r="A950" s="4">
        <v>46113</v>
      </c>
      <c r="B950" s="5" t="s">
        <v>8</v>
      </c>
      <c r="C950" s="4">
        <v>46082</v>
      </c>
      <c r="D950" s="5" t="s">
        <v>9</v>
      </c>
      <c r="E950" s="6">
        <v>2060</v>
      </c>
      <c r="F950" s="6">
        <v>141640.24271844659</v>
      </c>
      <c r="G950" s="6">
        <v>291778900</v>
      </c>
      <c r="H950" s="6">
        <v>57420900</v>
      </c>
      <c r="I950" s="6">
        <f t="shared" si="14"/>
        <v>31</v>
      </c>
      <c r="J950" t="str" cm="1">
        <f t="array" ref="J950">_xlfn.IFS(
AND(I950&gt;=89,I950&lt;=92),"D-90",
AND(I950&gt;=58,I950&lt;=62),"D-60",
AND(I950&gt;=28,I950&lt;=32),"D-30",
AND(I950=0),"당월",
TRUE,"그외")</f>
        <v>D-30</v>
      </c>
    </row>
    <row r="951" spans="1:10" ht="17.649999999999999" customHeight="1" x14ac:dyDescent="0.3">
      <c r="A951" s="4">
        <v>46113</v>
      </c>
      <c r="B951" s="5" t="s">
        <v>8</v>
      </c>
      <c r="C951" s="4">
        <v>46082</v>
      </c>
      <c r="D951" s="5" t="s">
        <v>10</v>
      </c>
      <c r="E951" s="6">
        <v>2309</v>
      </c>
      <c r="F951" s="6">
        <v>207889.30316154179</v>
      </c>
      <c r="G951" s="6">
        <v>480016401</v>
      </c>
      <c r="H951" s="6">
        <v>65178006</v>
      </c>
      <c r="I951" s="6">
        <f t="shared" si="14"/>
        <v>31</v>
      </c>
      <c r="J951" t="str" cm="1">
        <f t="array" ref="J951">_xlfn.IFS(
AND(I951&gt;=89,I951&lt;=92),"D-90",
AND(I951&gt;=58,I951&lt;=62),"D-60",
AND(I951&gt;=28,I951&lt;=32),"D-30",
AND(I951=0),"당월",
TRUE,"그외")</f>
        <v>D-30</v>
      </c>
    </row>
    <row r="952" spans="1:10" ht="17.649999999999999" customHeight="1" x14ac:dyDescent="0.3">
      <c r="A952" s="4">
        <v>46113</v>
      </c>
      <c r="B952" s="5" t="s">
        <v>8</v>
      </c>
      <c r="C952" s="4">
        <v>46113</v>
      </c>
      <c r="D952" s="5" t="s">
        <v>9</v>
      </c>
      <c r="E952" s="6">
        <v>11</v>
      </c>
      <c r="F952" s="6">
        <v>225645.45454545459</v>
      </c>
      <c r="G952" s="6">
        <v>2482100</v>
      </c>
      <c r="H952" s="6">
        <v>775100</v>
      </c>
      <c r="I952" s="6">
        <f t="shared" si="14"/>
        <v>0</v>
      </c>
      <c r="J952" t="str" cm="1">
        <f t="array" ref="J952">_xlfn.IFS(
AND(I952&gt;=89,I952&lt;=92),"D-90",
AND(I952&gt;=58,I952&lt;=62),"D-60",
AND(I952&gt;=28,I952&lt;=32),"D-30",
AND(I952=0),"당월",
TRUE,"그외")</f>
        <v>당월</v>
      </c>
    </row>
    <row r="953" spans="1:10" ht="17.649999999999999" customHeight="1" x14ac:dyDescent="0.3">
      <c r="A953" s="4">
        <v>46113</v>
      </c>
      <c r="B953" s="5" t="s">
        <v>8</v>
      </c>
      <c r="C953" s="4">
        <v>46113</v>
      </c>
      <c r="D953" s="5" t="s">
        <v>10</v>
      </c>
      <c r="E953" s="6">
        <v>294</v>
      </c>
      <c r="F953" s="6">
        <v>255489.07142857139</v>
      </c>
      <c r="G953" s="6">
        <v>75113787</v>
      </c>
      <c r="H953" s="6">
        <v>20038240</v>
      </c>
      <c r="I953" s="6">
        <f t="shared" si="14"/>
        <v>0</v>
      </c>
      <c r="J953" t="str" cm="1">
        <f t="array" ref="J953">_xlfn.IFS(
AND(I953&gt;=89,I953&lt;=92),"D-90",
AND(I953&gt;=58,I953&lt;=62),"D-60",
AND(I953&gt;=28,I953&lt;=32),"D-30",
AND(I953=0),"당월",
TRUE,"그외")</f>
        <v>당월</v>
      </c>
    </row>
    <row r="954" spans="1:10" ht="17.649999999999999" customHeight="1" x14ac:dyDescent="0.3">
      <c r="A954" s="4">
        <v>46113</v>
      </c>
      <c r="B954" s="5" t="s">
        <v>11</v>
      </c>
      <c r="C954" s="4">
        <v>45931</v>
      </c>
      <c r="D954" s="5" t="s">
        <v>10</v>
      </c>
      <c r="E954" s="6">
        <v>27</v>
      </c>
      <c r="F954" s="6">
        <v>219733.33333333331</v>
      </c>
      <c r="G954" s="6">
        <v>5932800</v>
      </c>
      <c r="H954" s="6">
        <v>712800</v>
      </c>
      <c r="I954" s="6">
        <f t="shared" si="14"/>
        <v>182</v>
      </c>
      <c r="J954" t="str" cm="1">
        <f t="array" ref="J954">_xlfn.IFS(
AND(I954&gt;=89,I954&lt;=92),"D-90",
AND(I954&gt;=58,I954&lt;=62),"D-60",
AND(I954&gt;=28,I954&lt;=32),"D-30",
AND(I954=0),"당월",
TRUE,"그외")</f>
        <v>그외</v>
      </c>
    </row>
    <row r="955" spans="1:10" ht="17.649999999999999" customHeight="1" x14ac:dyDescent="0.3">
      <c r="A955" s="4">
        <v>46113</v>
      </c>
      <c r="B955" s="5" t="s">
        <v>11</v>
      </c>
      <c r="C955" s="4">
        <v>45962</v>
      </c>
      <c r="D955" s="5" t="s">
        <v>10</v>
      </c>
      <c r="E955" s="6">
        <v>138</v>
      </c>
      <c r="F955" s="6">
        <v>214703.88405797101</v>
      </c>
      <c r="G955" s="6">
        <v>29629136</v>
      </c>
      <c r="H955" s="6">
        <v>3684000</v>
      </c>
      <c r="I955" s="6">
        <f t="shared" si="14"/>
        <v>151</v>
      </c>
      <c r="J955" t="str" cm="1">
        <f t="array" ref="J955">_xlfn.IFS(
AND(I955&gt;=89,I955&lt;=92),"D-90",
AND(I955&gt;=58,I955&lt;=62),"D-60",
AND(I955&gt;=28,I955&lt;=32),"D-30",
AND(I955=0),"당월",
TRUE,"그외")</f>
        <v>그외</v>
      </c>
    </row>
    <row r="956" spans="1:10" ht="17.649999999999999" customHeight="1" x14ac:dyDescent="0.3">
      <c r="A956" s="4">
        <v>46113</v>
      </c>
      <c r="B956" s="5" t="s">
        <v>11</v>
      </c>
      <c r="C956" s="4">
        <v>45992</v>
      </c>
      <c r="D956" s="5" t="s">
        <v>10</v>
      </c>
      <c r="E956" s="6">
        <v>235</v>
      </c>
      <c r="F956" s="6">
        <v>198206.5446808511</v>
      </c>
      <c r="G956" s="6">
        <v>46578538</v>
      </c>
      <c r="H956" s="6">
        <v>7394054</v>
      </c>
      <c r="I956" s="6">
        <f t="shared" si="14"/>
        <v>121</v>
      </c>
      <c r="J956" t="str" cm="1">
        <f t="array" ref="J956">_xlfn.IFS(
AND(I956&gt;=89,I956&lt;=92),"D-90",
AND(I956&gt;=58,I956&lt;=62),"D-60",
AND(I956&gt;=28,I956&lt;=32),"D-30",
AND(I956=0),"당월",
TRUE,"그외")</f>
        <v>그외</v>
      </c>
    </row>
    <row r="957" spans="1:10" ht="17.649999999999999" customHeight="1" x14ac:dyDescent="0.3">
      <c r="A957" s="4">
        <v>46113</v>
      </c>
      <c r="B957" s="5" t="s">
        <v>11</v>
      </c>
      <c r="C957" s="4">
        <v>46023</v>
      </c>
      <c r="D957" s="5" t="s">
        <v>10</v>
      </c>
      <c r="E957" s="6">
        <v>1241</v>
      </c>
      <c r="F957" s="6">
        <v>188400.47784045129</v>
      </c>
      <c r="G957" s="6">
        <v>233804993</v>
      </c>
      <c r="H957" s="6">
        <v>40120015</v>
      </c>
      <c r="I957" s="6">
        <f t="shared" si="14"/>
        <v>90</v>
      </c>
      <c r="J957" t="str" cm="1">
        <f t="array" ref="J957">_xlfn.IFS(
AND(I957&gt;=89,I957&lt;=92),"D-90",
AND(I957&gt;=58,I957&lt;=62),"D-60",
AND(I957&gt;=28,I957&lt;=32),"D-30",
AND(I957=0),"당월",
TRUE,"그외")</f>
        <v>D-90</v>
      </c>
    </row>
    <row r="958" spans="1:10" ht="17.649999999999999" customHeight="1" x14ac:dyDescent="0.3">
      <c r="A958" s="4">
        <v>46113</v>
      </c>
      <c r="B958" s="5" t="s">
        <v>11</v>
      </c>
      <c r="C958" s="4">
        <v>46054</v>
      </c>
      <c r="D958" s="5" t="s">
        <v>9</v>
      </c>
      <c r="E958" s="6">
        <v>1323</v>
      </c>
      <c r="F958" s="6">
        <v>146634.92063492059</v>
      </c>
      <c r="G958" s="6">
        <v>193998000</v>
      </c>
      <c r="H958" s="6">
        <v>29106000</v>
      </c>
      <c r="I958" s="6">
        <f t="shared" si="14"/>
        <v>59</v>
      </c>
      <c r="J958" t="str" cm="1">
        <f t="array" ref="J958">_xlfn.IFS(
AND(I958&gt;=89,I958&lt;=92),"D-90",
AND(I958&gt;=58,I958&lt;=62),"D-60",
AND(I958&gt;=28,I958&lt;=32),"D-30",
AND(I958=0),"당월",
TRUE,"그외")</f>
        <v>D-60</v>
      </c>
    </row>
    <row r="959" spans="1:10" ht="17.649999999999999" customHeight="1" x14ac:dyDescent="0.3">
      <c r="A959" s="4">
        <v>46113</v>
      </c>
      <c r="B959" s="5" t="s">
        <v>11</v>
      </c>
      <c r="C959" s="4">
        <v>46054</v>
      </c>
      <c r="D959" s="5" t="s">
        <v>10</v>
      </c>
      <c r="E959" s="6">
        <v>970</v>
      </c>
      <c r="F959" s="6">
        <v>203080.84226804119</v>
      </c>
      <c r="G959" s="6">
        <v>196988417</v>
      </c>
      <c r="H959" s="6">
        <v>22513945</v>
      </c>
      <c r="I959" s="6">
        <f t="shared" si="14"/>
        <v>59</v>
      </c>
      <c r="J959" t="str" cm="1">
        <f t="array" ref="J959">_xlfn.IFS(
AND(I959&gt;=89,I959&lt;=92),"D-90",
AND(I959&gt;=58,I959&lt;=62),"D-60",
AND(I959&gt;=28,I959&lt;=32),"D-30",
AND(I959=0),"당월",
TRUE,"그외")</f>
        <v>D-60</v>
      </c>
    </row>
    <row r="960" spans="1:10" ht="17.649999999999999" customHeight="1" x14ac:dyDescent="0.3">
      <c r="A960" s="4">
        <v>46113</v>
      </c>
      <c r="B960" s="5" t="s">
        <v>11</v>
      </c>
      <c r="C960" s="4">
        <v>46082</v>
      </c>
      <c r="D960" s="5" t="s">
        <v>9</v>
      </c>
      <c r="E960" s="6">
        <v>787</v>
      </c>
      <c r="F960" s="6">
        <v>165604.44726810671</v>
      </c>
      <c r="G960" s="6">
        <v>130330700</v>
      </c>
      <c r="H960" s="6">
        <v>21933700</v>
      </c>
      <c r="I960" s="6">
        <f t="shared" si="14"/>
        <v>31</v>
      </c>
      <c r="J960" t="str" cm="1">
        <f t="array" ref="J960">_xlfn.IFS(
AND(I960&gt;=89,I960&lt;=92),"D-90",
AND(I960&gt;=58,I960&lt;=62),"D-60",
AND(I960&gt;=28,I960&lt;=32),"D-30",
AND(I960=0),"당월",
TRUE,"그외")</f>
        <v>D-30</v>
      </c>
    </row>
    <row r="961" spans="1:10" ht="17.649999999999999" customHeight="1" x14ac:dyDescent="0.3">
      <c r="A961" s="4">
        <v>46113</v>
      </c>
      <c r="B961" s="5" t="s">
        <v>11</v>
      </c>
      <c r="C961" s="4">
        <v>46082</v>
      </c>
      <c r="D961" s="5" t="s">
        <v>10</v>
      </c>
      <c r="E961" s="6">
        <v>1151</v>
      </c>
      <c r="F961" s="6">
        <v>203270.65855777581</v>
      </c>
      <c r="G961" s="6">
        <v>233964528</v>
      </c>
      <c r="H961" s="6">
        <v>32308094</v>
      </c>
      <c r="I961" s="6">
        <f t="shared" si="14"/>
        <v>31</v>
      </c>
      <c r="J961" t="str" cm="1">
        <f t="array" ref="J961">_xlfn.IFS(
AND(I961&gt;=89,I961&lt;=92),"D-90",
AND(I961&gt;=58,I961&lt;=62),"D-60",
AND(I961&gt;=28,I961&lt;=32),"D-30",
AND(I961=0),"당월",
TRUE,"그외")</f>
        <v>D-30</v>
      </c>
    </row>
    <row r="962" spans="1:10" ht="17.649999999999999" customHeight="1" x14ac:dyDescent="0.3">
      <c r="A962" s="4">
        <v>46113</v>
      </c>
      <c r="B962" s="5" t="s">
        <v>11</v>
      </c>
      <c r="C962" s="4">
        <v>46113</v>
      </c>
      <c r="D962" s="5" t="s">
        <v>9</v>
      </c>
      <c r="E962" s="6">
        <v>13</v>
      </c>
      <c r="F962" s="6">
        <v>281607.69230769231</v>
      </c>
      <c r="G962" s="6">
        <v>3660900</v>
      </c>
      <c r="H962" s="6">
        <v>890900</v>
      </c>
      <c r="I962" s="6">
        <f t="shared" si="14"/>
        <v>0</v>
      </c>
      <c r="J962" t="str" cm="1">
        <f t="array" ref="J962">_xlfn.IFS(
AND(I962&gt;=89,I962&lt;=92),"D-90",
AND(I962&gt;=58,I962&lt;=62),"D-60",
AND(I962&gt;=28,I962&lt;=32),"D-30",
AND(I962=0),"당월",
TRUE,"그외")</f>
        <v>당월</v>
      </c>
    </row>
    <row r="963" spans="1:10" ht="17.649999999999999" customHeight="1" x14ac:dyDescent="0.3">
      <c r="A963" s="4">
        <v>46113</v>
      </c>
      <c r="B963" s="5" t="s">
        <v>11</v>
      </c>
      <c r="C963" s="4">
        <v>46113</v>
      </c>
      <c r="D963" s="5" t="s">
        <v>10</v>
      </c>
      <c r="E963" s="6">
        <v>253</v>
      </c>
      <c r="F963" s="6">
        <v>275774.95256916998</v>
      </c>
      <c r="G963" s="6">
        <v>69771063</v>
      </c>
      <c r="H963" s="6">
        <v>17701762</v>
      </c>
      <c r="I963" s="6">
        <f t="shared" ref="I963:I1026" si="15">A963-C963</f>
        <v>0</v>
      </c>
      <c r="J963" t="str" cm="1">
        <f t="array" ref="J963">_xlfn.IFS(
AND(I963&gt;=89,I963&lt;=92),"D-90",
AND(I963&gt;=58,I963&lt;=62),"D-60",
AND(I963&gt;=28,I963&lt;=32),"D-30",
AND(I963=0),"당월",
TRUE,"그외")</f>
        <v>당월</v>
      </c>
    </row>
    <row r="964" spans="1:10" ht="17.649999999999999" customHeight="1" x14ac:dyDescent="0.3">
      <c r="A964" s="4">
        <v>46113</v>
      </c>
      <c r="B964" s="5" t="s">
        <v>12</v>
      </c>
      <c r="C964" s="4">
        <v>45962</v>
      </c>
      <c r="D964" s="5" t="s">
        <v>10</v>
      </c>
      <c r="E964" s="6">
        <v>44</v>
      </c>
      <c r="F964" s="6">
        <v>207586.59090909091</v>
      </c>
      <c r="G964" s="6">
        <v>9133810</v>
      </c>
      <c r="H964" s="6">
        <v>1174800</v>
      </c>
      <c r="I964" s="6">
        <f t="shared" si="15"/>
        <v>151</v>
      </c>
      <c r="J964" t="str" cm="1">
        <f t="array" ref="J964">_xlfn.IFS(
AND(I964&gt;=89,I964&lt;=92),"D-90",
AND(I964&gt;=58,I964&lt;=62),"D-60",
AND(I964&gt;=28,I964&lt;=32),"D-30",
AND(I964=0),"당월",
TRUE,"그외")</f>
        <v>그외</v>
      </c>
    </row>
    <row r="965" spans="1:10" ht="17.649999999999999" customHeight="1" x14ac:dyDescent="0.3">
      <c r="A965" s="4">
        <v>46113</v>
      </c>
      <c r="B965" s="5" t="s">
        <v>12</v>
      </c>
      <c r="C965" s="4">
        <v>45992</v>
      </c>
      <c r="D965" s="5" t="s">
        <v>10</v>
      </c>
      <c r="E965" s="6">
        <v>65</v>
      </c>
      <c r="F965" s="6">
        <v>198112.30769230769</v>
      </c>
      <c r="G965" s="6">
        <v>12877300</v>
      </c>
      <c r="H965" s="6">
        <v>2060500</v>
      </c>
      <c r="I965" s="6">
        <f t="shared" si="15"/>
        <v>121</v>
      </c>
      <c r="J965" t="str" cm="1">
        <f t="array" ref="J965">_xlfn.IFS(
AND(I965&gt;=89,I965&lt;=92),"D-90",
AND(I965&gt;=58,I965&lt;=62),"D-60",
AND(I965&gt;=28,I965&lt;=32),"D-30",
AND(I965=0),"당월",
TRUE,"그외")</f>
        <v>그외</v>
      </c>
    </row>
    <row r="966" spans="1:10" ht="17.649999999999999" customHeight="1" x14ac:dyDescent="0.3">
      <c r="A966" s="4">
        <v>46113</v>
      </c>
      <c r="B966" s="5" t="s">
        <v>12</v>
      </c>
      <c r="C966" s="4">
        <v>46023</v>
      </c>
      <c r="D966" s="5" t="s">
        <v>10</v>
      </c>
      <c r="E966" s="6">
        <v>738</v>
      </c>
      <c r="F966" s="6">
        <v>187013.65447154469</v>
      </c>
      <c r="G966" s="6">
        <v>138016077</v>
      </c>
      <c r="H966" s="6">
        <v>23844763</v>
      </c>
      <c r="I966" s="6">
        <f t="shared" si="15"/>
        <v>90</v>
      </c>
      <c r="J966" t="str" cm="1">
        <f t="array" ref="J966">_xlfn.IFS(
AND(I966&gt;=89,I966&lt;=92),"D-90",
AND(I966&gt;=58,I966&lt;=62),"D-60",
AND(I966&gt;=28,I966&lt;=32),"D-30",
AND(I966=0),"당월",
TRUE,"그외")</f>
        <v>D-90</v>
      </c>
    </row>
    <row r="967" spans="1:10" ht="17.649999999999999" customHeight="1" x14ac:dyDescent="0.3">
      <c r="A967" s="4">
        <v>46113</v>
      </c>
      <c r="B967" s="5" t="s">
        <v>12</v>
      </c>
      <c r="C967" s="4">
        <v>46054</v>
      </c>
      <c r="D967" s="5" t="s">
        <v>9</v>
      </c>
      <c r="E967" s="6">
        <v>1361</v>
      </c>
      <c r="F967" s="6">
        <v>119670.8302718589</v>
      </c>
      <c r="G967" s="6">
        <v>162872000</v>
      </c>
      <c r="H967" s="6">
        <v>29942000</v>
      </c>
      <c r="I967" s="6">
        <f t="shared" si="15"/>
        <v>59</v>
      </c>
      <c r="J967" t="str" cm="1">
        <f t="array" ref="J967">_xlfn.IFS(
AND(I967&gt;=89,I967&lt;=92),"D-90",
AND(I967&gt;=58,I967&lt;=62),"D-60",
AND(I967&gt;=28,I967&lt;=32),"D-30",
AND(I967=0),"당월",
TRUE,"그외")</f>
        <v>D-60</v>
      </c>
    </row>
    <row r="968" spans="1:10" ht="17.649999999999999" customHeight="1" x14ac:dyDescent="0.3">
      <c r="A968" s="4">
        <v>46113</v>
      </c>
      <c r="B968" s="5" t="s">
        <v>12</v>
      </c>
      <c r="C968" s="4">
        <v>46054</v>
      </c>
      <c r="D968" s="5" t="s">
        <v>10</v>
      </c>
      <c r="E968" s="6">
        <v>1250</v>
      </c>
      <c r="F968" s="6">
        <v>189346.2568</v>
      </c>
      <c r="G968" s="6">
        <v>236682821</v>
      </c>
      <c r="H968" s="6">
        <v>28373251</v>
      </c>
      <c r="I968" s="6">
        <f t="shared" si="15"/>
        <v>59</v>
      </c>
      <c r="J968" t="str" cm="1">
        <f t="array" ref="J968">_xlfn.IFS(
AND(I968&gt;=89,I968&lt;=92),"D-90",
AND(I968&gt;=58,I968&lt;=62),"D-60",
AND(I968&gt;=28,I968&lt;=32),"D-30",
AND(I968=0),"당월",
TRUE,"그외")</f>
        <v>D-60</v>
      </c>
    </row>
    <row r="969" spans="1:10" ht="17.649999999999999" customHeight="1" x14ac:dyDescent="0.3">
      <c r="A969" s="4">
        <v>46113</v>
      </c>
      <c r="B969" s="5" t="s">
        <v>12</v>
      </c>
      <c r="C969" s="4">
        <v>46082</v>
      </c>
      <c r="D969" s="5" t="s">
        <v>9</v>
      </c>
      <c r="E969" s="6">
        <v>890</v>
      </c>
      <c r="F969" s="6">
        <v>149472.80898876401</v>
      </c>
      <c r="G969" s="6">
        <v>133030800</v>
      </c>
      <c r="H969" s="6">
        <v>24783800</v>
      </c>
      <c r="I969" s="6">
        <f t="shared" si="15"/>
        <v>31</v>
      </c>
      <c r="J969" t="str" cm="1">
        <f t="array" ref="J969">_xlfn.IFS(
AND(I969&gt;=89,I969&lt;=92),"D-90",
AND(I969&gt;=58,I969&lt;=62),"D-60",
AND(I969&gt;=28,I969&lt;=32),"D-30",
AND(I969=0),"당월",
TRUE,"그외")</f>
        <v>D-30</v>
      </c>
    </row>
    <row r="970" spans="1:10" ht="17.649999999999999" customHeight="1" x14ac:dyDescent="0.3">
      <c r="A970" s="4">
        <v>46113</v>
      </c>
      <c r="B970" s="5" t="s">
        <v>12</v>
      </c>
      <c r="C970" s="4">
        <v>46082</v>
      </c>
      <c r="D970" s="5" t="s">
        <v>10</v>
      </c>
      <c r="E970" s="6">
        <v>1432</v>
      </c>
      <c r="F970" s="6">
        <v>195479.93575418991</v>
      </c>
      <c r="G970" s="6">
        <v>279927268</v>
      </c>
      <c r="H970" s="6">
        <v>39789063</v>
      </c>
      <c r="I970" s="6">
        <f t="shared" si="15"/>
        <v>31</v>
      </c>
      <c r="J970" t="str" cm="1">
        <f t="array" ref="J970">_xlfn.IFS(
AND(I970&gt;=89,I970&lt;=92),"D-90",
AND(I970&gt;=58,I970&lt;=62),"D-60",
AND(I970&gt;=28,I970&lt;=32),"D-30",
AND(I970=0),"당월",
TRUE,"그외")</f>
        <v>D-30</v>
      </c>
    </row>
    <row r="971" spans="1:10" ht="17.649999999999999" customHeight="1" x14ac:dyDescent="0.3">
      <c r="A971" s="4">
        <v>46113</v>
      </c>
      <c r="B971" s="5" t="s">
        <v>12</v>
      </c>
      <c r="C971" s="4">
        <v>46113</v>
      </c>
      <c r="D971" s="5" t="s">
        <v>9</v>
      </c>
      <c r="E971" s="6">
        <v>88</v>
      </c>
      <c r="F971" s="6">
        <v>212636.36363636359</v>
      </c>
      <c r="G971" s="6">
        <v>18712000</v>
      </c>
      <c r="H971" s="6">
        <v>6428000</v>
      </c>
      <c r="I971" s="6">
        <f t="shared" si="15"/>
        <v>0</v>
      </c>
      <c r="J971" t="str" cm="1">
        <f t="array" ref="J971">_xlfn.IFS(
AND(I971&gt;=89,I971&lt;=92),"D-90",
AND(I971&gt;=58,I971&lt;=62),"D-60",
AND(I971&gt;=28,I971&lt;=32),"D-30",
AND(I971=0),"당월",
TRUE,"그외")</f>
        <v>당월</v>
      </c>
    </row>
    <row r="972" spans="1:10" ht="17.649999999999999" customHeight="1" x14ac:dyDescent="0.3">
      <c r="A972" s="4">
        <v>46113</v>
      </c>
      <c r="B972" s="5" t="s">
        <v>12</v>
      </c>
      <c r="C972" s="4">
        <v>46113</v>
      </c>
      <c r="D972" s="5" t="s">
        <v>10</v>
      </c>
      <c r="E972" s="6">
        <v>180</v>
      </c>
      <c r="F972" s="6">
        <v>290770.44444444438</v>
      </c>
      <c r="G972" s="6">
        <v>52338680</v>
      </c>
      <c r="H972" s="6">
        <v>12057462</v>
      </c>
      <c r="I972" s="6">
        <f t="shared" si="15"/>
        <v>0</v>
      </c>
      <c r="J972" t="str" cm="1">
        <f t="array" ref="J972">_xlfn.IFS(
AND(I972&gt;=89,I972&lt;=92),"D-90",
AND(I972&gt;=58,I972&lt;=62),"D-60",
AND(I972&gt;=28,I972&lt;=32),"D-30",
AND(I972=0),"당월",
TRUE,"그외")</f>
        <v>당월</v>
      </c>
    </row>
    <row r="973" spans="1:10" ht="17.649999999999999" customHeight="1" x14ac:dyDescent="0.3">
      <c r="A973" s="4">
        <v>46113</v>
      </c>
      <c r="B973" s="5" t="s">
        <v>13</v>
      </c>
      <c r="C973" s="4">
        <v>45962</v>
      </c>
      <c r="D973" s="5" t="s">
        <v>10</v>
      </c>
      <c r="E973" s="6">
        <v>17</v>
      </c>
      <c r="F973" s="6">
        <v>227464.70588235301</v>
      </c>
      <c r="G973" s="6">
        <v>3866900</v>
      </c>
      <c r="H973" s="6">
        <v>453900</v>
      </c>
      <c r="I973" s="6">
        <f t="shared" si="15"/>
        <v>151</v>
      </c>
      <c r="J973" t="str" cm="1">
        <f t="array" ref="J973">_xlfn.IFS(
AND(I973&gt;=89,I973&lt;=92),"D-90",
AND(I973&gt;=58,I973&lt;=62),"D-60",
AND(I973&gt;=28,I973&lt;=32),"D-30",
AND(I973=0),"당월",
TRUE,"그외")</f>
        <v>그외</v>
      </c>
    </row>
    <row r="974" spans="1:10" ht="17.649999999999999" customHeight="1" x14ac:dyDescent="0.3">
      <c r="A974" s="4">
        <v>46113</v>
      </c>
      <c r="B974" s="5" t="s">
        <v>13</v>
      </c>
      <c r="C974" s="4">
        <v>45992</v>
      </c>
      <c r="D974" s="5" t="s">
        <v>10</v>
      </c>
      <c r="E974" s="6">
        <v>26</v>
      </c>
      <c r="F974" s="6">
        <v>247915.3846153846</v>
      </c>
      <c r="G974" s="6">
        <v>6445800</v>
      </c>
      <c r="H974" s="6">
        <v>824200</v>
      </c>
      <c r="I974" s="6">
        <f t="shared" si="15"/>
        <v>121</v>
      </c>
      <c r="J974" t="str" cm="1">
        <f t="array" ref="J974">_xlfn.IFS(
AND(I974&gt;=89,I974&lt;=92),"D-90",
AND(I974&gt;=58,I974&lt;=62),"D-60",
AND(I974&gt;=28,I974&lt;=32),"D-30",
AND(I974=0),"당월",
TRUE,"그외")</f>
        <v>그외</v>
      </c>
    </row>
    <row r="975" spans="1:10" ht="17.649999999999999" customHeight="1" x14ac:dyDescent="0.3">
      <c r="A975" s="4">
        <v>46113</v>
      </c>
      <c r="B975" s="5" t="s">
        <v>13</v>
      </c>
      <c r="C975" s="4">
        <v>46023</v>
      </c>
      <c r="D975" s="5" t="s">
        <v>10</v>
      </c>
      <c r="E975" s="6">
        <v>153</v>
      </c>
      <c r="F975" s="6">
        <v>223220.67973856209</v>
      </c>
      <c r="G975" s="6">
        <v>34152764</v>
      </c>
      <c r="H975" s="6">
        <v>5088464</v>
      </c>
      <c r="I975" s="6">
        <f t="shared" si="15"/>
        <v>90</v>
      </c>
      <c r="J975" t="str" cm="1">
        <f t="array" ref="J975">_xlfn.IFS(
AND(I975&gt;=89,I975&lt;=92),"D-90",
AND(I975&gt;=58,I975&lt;=62),"D-60",
AND(I975&gt;=28,I975&lt;=32),"D-30",
AND(I975=0),"당월",
TRUE,"그외")</f>
        <v>D-90</v>
      </c>
    </row>
    <row r="976" spans="1:10" ht="17.649999999999999" customHeight="1" x14ac:dyDescent="0.3">
      <c r="A976" s="4">
        <v>46113</v>
      </c>
      <c r="B976" s="5" t="s">
        <v>13</v>
      </c>
      <c r="C976" s="4">
        <v>46054</v>
      </c>
      <c r="D976" s="5" t="s">
        <v>9</v>
      </c>
      <c r="E976" s="6">
        <v>25</v>
      </c>
      <c r="F976" s="6">
        <v>173880</v>
      </c>
      <c r="G976" s="6">
        <v>4347000</v>
      </c>
      <c r="H976" s="6">
        <v>550000</v>
      </c>
      <c r="I976" s="6">
        <f t="shared" si="15"/>
        <v>59</v>
      </c>
      <c r="J976" t="str" cm="1">
        <f t="array" ref="J976">_xlfn.IFS(
AND(I976&gt;=89,I976&lt;=92),"D-90",
AND(I976&gt;=58,I976&lt;=62),"D-60",
AND(I976&gt;=28,I976&lt;=32),"D-30",
AND(I976=0),"당월",
TRUE,"그외")</f>
        <v>D-60</v>
      </c>
    </row>
    <row r="977" spans="1:10" ht="17.649999999999999" customHeight="1" x14ac:dyDescent="0.3">
      <c r="A977" s="4">
        <v>46113</v>
      </c>
      <c r="B977" s="5" t="s">
        <v>13</v>
      </c>
      <c r="C977" s="4">
        <v>46054</v>
      </c>
      <c r="D977" s="5" t="s">
        <v>10</v>
      </c>
      <c r="E977" s="6">
        <v>221</v>
      </c>
      <c r="F977" s="6">
        <v>182110.54751131221</v>
      </c>
      <c r="G977" s="6">
        <v>40246431</v>
      </c>
      <c r="H977" s="6">
        <v>5312909</v>
      </c>
      <c r="I977" s="6">
        <f t="shared" si="15"/>
        <v>59</v>
      </c>
      <c r="J977" t="str" cm="1">
        <f t="array" ref="J977">_xlfn.IFS(
AND(I977&gt;=89,I977&lt;=92),"D-90",
AND(I977&gt;=58,I977&lt;=62),"D-60",
AND(I977&gt;=28,I977&lt;=32),"D-30",
AND(I977=0),"당월",
TRUE,"그외")</f>
        <v>D-60</v>
      </c>
    </row>
    <row r="978" spans="1:10" ht="17.649999999999999" customHeight="1" x14ac:dyDescent="0.3">
      <c r="A978" s="4">
        <v>46113</v>
      </c>
      <c r="B978" s="5" t="s">
        <v>13</v>
      </c>
      <c r="C978" s="4">
        <v>46082</v>
      </c>
      <c r="D978" s="5" t="s">
        <v>9</v>
      </c>
      <c r="E978" s="6">
        <v>295</v>
      </c>
      <c r="F978" s="6">
        <v>145161.01694915249</v>
      </c>
      <c r="G978" s="6">
        <v>42822500</v>
      </c>
      <c r="H978" s="6">
        <v>8230500</v>
      </c>
      <c r="I978" s="6">
        <f t="shared" si="15"/>
        <v>31</v>
      </c>
      <c r="J978" t="str" cm="1">
        <f t="array" ref="J978">_xlfn.IFS(
AND(I978&gt;=89,I978&lt;=92),"D-90",
AND(I978&gt;=58,I978&lt;=62),"D-60",
AND(I978&gt;=28,I978&lt;=32),"D-30",
AND(I978=0),"당월",
TRUE,"그외")</f>
        <v>D-30</v>
      </c>
    </row>
    <row r="979" spans="1:10" ht="17.649999999999999" customHeight="1" x14ac:dyDescent="0.3">
      <c r="A979" s="4">
        <v>46113</v>
      </c>
      <c r="B979" s="5" t="s">
        <v>13</v>
      </c>
      <c r="C979" s="4">
        <v>46082</v>
      </c>
      <c r="D979" s="5" t="s">
        <v>10</v>
      </c>
      <c r="E979" s="6">
        <v>423</v>
      </c>
      <c r="F979" s="6">
        <v>180925.30260047279</v>
      </c>
      <c r="G979" s="6">
        <v>76531403</v>
      </c>
      <c r="H979" s="6">
        <v>14884569</v>
      </c>
      <c r="I979" s="6">
        <f t="shared" si="15"/>
        <v>31</v>
      </c>
      <c r="J979" t="str" cm="1">
        <f t="array" ref="J979">_xlfn.IFS(
AND(I979&gt;=89,I979&lt;=92),"D-90",
AND(I979&gt;=58,I979&lt;=62),"D-60",
AND(I979&gt;=28,I979&lt;=32),"D-30",
AND(I979=0),"당월",
TRUE,"그외")</f>
        <v>D-30</v>
      </c>
    </row>
    <row r="980" spans="1:10" ht="17.649999999999999" customHeight="1" x14ac:dyDescent="0.3">
      <c r="A980" s="4">
        <v>46113</v>
      </c>
      <c r="B980" s="5" t="s">
        <v>13</v>
      </c>
      <c r="C980" s="4">
        <v>46113</v>
      </c>
      <c r="D980" s="5" t="s">
        <v>9</v>
      </c>
      <c r="E980" s="6">
        <v>6</v>
      </c>
      <c r="F980" s="6">
        <v>164733.33333333331</v>
      </c>
      <c r="G980" s="6">
        <v>988400</v>
      </c>
      <c r="H980" s="6">
        <v>407400</v>
      </c>
      <c r="I980" s="6">
        <f t="shared" si="15"/>
        <v>0</v>
      </c>
      <c r="J980" t="str" cm="1">
        <f t="array" ref="J980">_xlfn.IFS(
AND(I980&gt;=89,I980&lt;=92),"D-90",
AND(I980&gt;=58,I980&lt;=62),"D-60",
AND(I980&gt;=28,I980&lt;=32),"D-30",
AND(I980=0),"당월",
TRUE,"그외")</f>
        <v>당월</v>
      </c>
    </row>
    <row r="981" spans="1:10" ht="17.649999999999999" customHeight="1" x14ac:dyDescent="0.3">
      <c r="A981" s="4">
        <v>46113</v>
      </c>
      <c r="B981" s="5" t="s">
        <v>13</v>
      </c>
      <c r="C981" s="4">
        <v>46113</v>
      </c>
      <c r="D981" s="5" t="s">
        <v>10</v>
      </c>
      <c r="E981" s="6">
        <v>141</v>
      </c>
      <c r="F981" s="6">
        <v>215882.16312056739</v>
      </c>
      <c r="G981" s="6">
        <v>30439385</v>
      </c>
      <c r="H981" s="6">
        <v>11360486</v>
      </c>
      <c r="I981" s="6">
        <f t="shared" si="15"/>
        <v>0</v>
      </c>
      <c r="J981" t="str" cm="1">
        <f t="array" ref="J981">_xlfn.IFS(
AND(I981&gt;=89,I981&lt;=92),"D-90",
AND(I981&gt;=58,I981&lt;=62),"D-60",
AND(I981&gt;=28,I981&lt;=32),"D-30",
AND(I981=0),"당월",
TRUE,"그외")</f>
        <v>당월</v>
      </c>
    </row>
    <row r="982" spans="1:10" ht="17.649999999999999" customHeight="1" x14ac:dyDescent="0.3">
      <c r="A982" s="4">
        <v>46143</v>
      </c>
      <c r="B982" s="5" t="s">
        <v>8</v>
      </c>
      <c r="C982" s="4">
        <v>45931</v>
      </c>
      <c r="D982" s="5" t="s">
        <v>10</v>
      </c>
      <c r="E982" s="6">
        <v>193</v>
      </c>
      <c r="F982" s="6">
        <v>217995.170984456</v>
      </c>
      <c r="G982" s="6">
        <v>42073068</v>
      </c>
      <c r="H982" s="6">
        <v>5127570</v>
      </c>
      <c r="I982" s="6">
        <f t="shared" si="15"/>
        <v>212</v>
      </c>
      <c r="J982" t="str" cm="1">
        <f t="array" ref="J982">_xlfn.IFS(
AND(I982&gt;=89,I982&lt;=92),"D-90",
AND(I982&gt;=58,I982&lt;=62),"D-60",
AND(I982&gt;=28,I982&lt;=32),"D-30",
AND(I982=0),"당월",
TRUE,"그외")</f>
        <v>그외</v>
      </c>
    </row>
    <row r="983" spans="1:10" ht="17.649999999999999" customHeight="1" x14ac:dyDescent="0.3">
      <c r="A983" s="4">
        <v>46143</v>
      </c>
      <c r="B983" s="5" t="s">
        <v>8</v>
      </c>
      <c r="C983" s="4">
        <v>45962</v>
      </c>
      <c r="D983" s="5" t="s">
        <v>10</v>
      </c>
      <c r="E983" s="6">
        <v>357</v>
      </c>
      <c r="F983" s="6">
        <v>218173.37535014009</v>
      </c>
      <c r="G983" s="6">
        <v>77887895</v>
      </c>
      <c r="H983" s="6">
        <v>9792651</v>
      </c>
      <c r="I983" s="6">
        <f t="shared" si="15"/>
        <v>181</v>
      </c>
      <c r="J983" t="str" cm="1">
        <f t="array" ref="J983">_xlfn.IFS(
AND(I983&gt;=89,I983&lt;=92),"D-90",
AND(I983&gt;=58,I983&lt;=62),"D-60",
AND(I983&gt;=28,I983&lt;=32),"D-30",
AND(I983=0),"당월",
TRUE,"그외")</f>
        <v>그외</v>
      </c>
    </row>
    <row r="984" spans="1:10" ht="17.649999999999999" customHeight="1" x14ac:dyDescent="0.3">
      <c r="A984" s="4">
        <v>46143</v>
      </c>
      <c r="B984" s="5" t="s">
        <v>8</v>
      </c>
      <c r="C984" s="4">
        <v>45992</v>
      </c>
      <c r="D984" s="5" t="s">
        <v>10</v>
      </c>
      <c r="E984" s="6">
        <v>366</v>
      </c>
      <c r="F984" s="6">
        <v>202509.5</v>
      </c>
      <c r="G984" s="6">
        <v>74118477</v>
      </c>
      <c r="H984" s="6">
        <v>11604063</v>
      </c>
      <c r="I984" s="6">
        <f t="shared" si="15"/>
        <v>151</v>
      </c>
      <c r="J984" t="str" cm="1">
        <f t="array" ref="J984">_xlfn.IFS(
AND(I984&gt;=89,I984&lt;=92),"D-90",
AND(I984&gt;=58,I984&lt;=62),"D-60",
AND(I984&gt;=28,I984&lt;=32),"D-30",
AND(I984=0),"당월",
TRUE,"그외")</f>
        <v>그외</v>
      </c>
    </row>
    <row r="985" spans="1:10" ht="17.649999999999999" customHeight="1" x14ac:dyDescent="0.3">
      <c r="A985" s="4">
        <v>46143</v>
      </c>
      <c r="B985" s="5" t="s">
        <v>8</v>
      </c>
      <c r="C985" s="4">
        <v>46023</v>
      </c>
      <c r="D985" s="5" t="s">
        <v>10</v>
      </c>
      <c r="E985" s="6">
        <v>517</v>
      </c>
      <c r="F985" s="6">
        <v>207929.11218568671</v>
      </c>
      <c r="G985" s="6">
        <v>107499351</v>
      </c>
      <c r="H985" s="6">
        <v>16812873</v>
      </c>
      <c r="I985" s="6">
        <f t="shared" si="15"/>
        <v>120</v>
      </c>
      <c r="J985" t="str" cm="1">
        <f t="array" ref="J985">_xlfn.IFS(
AND(I985&gt;=89,I985&lt;=92),"D-90",
AND(I985&gt;=58,I985&lt;=62),"D-60",
AND(I985&gt;=28,I985&lt;=32),"D-30",
AND(I985=0),"당월",
TRUE,"그외")</f>
        <v>그외</v>
      </c>
    </row>
    <row r="986" spans="1:10" ht="17.649999999999999" customHeight="1" x14ac:dyDescent="0.3">
      <c r="A986" s="4">
        <v>46143</v>
      </c>
      <c r="B986" s="5" t="s">
        <v>8</v>
      </c>
      <c r="C986" s="4">
        <v>46054</v>
      </c>
      <c r="D986" s="5" t="s">
        <v>9</v>
      </c>
      <c r="E986" s="6">
        <v>528</v>
      </c>
      <c r="F986" s="6">
        <v>219962.12121212119</v>
      </c>
      <c r="G986" s="6">
        <v>116140000</v>
      </c>
      <c r="H986" s="6">
        <v>11616000</v>
      </c>
      <c r="I986" s="6">
        <f t="shared" si="15"/>
        <v>89</v>
      </c>
      <c r="J986" t="str" cm="1">
        <f t="array" ref="J986">_xlfn.IFS(
AND(I986&gt;=89,I986&lt;=92),"D-90",
AND(I986&gt;=58,I986&lt;=62),"D-60",
AND(I986&gt;=28,I986&lt;=32),"D-30",
AND(I986=0),"당월",
TRUE,"그외")</f>
        <v>D-90</v>
      </c>
    </row>
    <row r="987" spans="1:10" ht="17.649999999999999" customHeight="1" x14ac:dyDescent="0.3">
      <c r="A987" s="4">
        <v>46143</v>
      </c>
      <c r="B987" s="5" t="s">
        <v>8</v>
      </c>
      <c r="C987" s="4">
        <v>46054</v>
      </c>
      <c r="D987" s="5" t="s">
        <v>10</v>
      </c>
      <c r="E987" s="6">
        <v>805</v>
      </c>
      <c r="F987" s="6">
        <v>191520.82608695651</v>
      </c>
      <c r="G987" s="6">
        <v>154174265</v>
      </c>
      <c r="H987" s="6">
        <v>18583449</v>
      </c>
      <c r="I987" s="6">
        <f t="shared" si="15"/>
        <v>89</v>
      </c>
      <c r="J987" t="str" cm="1">
        <f t="array" ref="J987">_xlfn.IFS(
AND(I987&gt;=89,I987&lt;=92),"D-90",
AND(I987&gt;=58,I987&lt;=62),"D-60",
AND(I987&gt;=28,I987&lt;=32),"D-30",
AND(I987=0),"당월",
TRUE,"그외")</f>
        <v>D-90</v>
      </c>
    </row>
    <row r="988" spans="1:10" ht="17.649999999999999" customHeight="1" x14ac:dyDescent="0.3">
      <c r="A988" s="4">
        <v>46143</v>
      </c>
      <c r="B988" s="5" t="s">
        <v>8</v>
      </c>
      <c r="C988" s="4">
        <v>46082</v>
      </c>
      <c r="D988" s="5" t="s">
        <v>9</v>
      </c>
      <c r="E988" s="6">
        <v>2019</v>
      </c>
      <c r="F988" s="6">
        <v>139277.90985636451</v>
      </c>
      <c r="G988" s="6">
        <v>281202100</v>
      </c>
      <c r="H988" s="6">
        <v>56330100</v>
      </c>
      <c r="I988" s="6">
        <f t="shared" si="15"/>
        <v>61</v>
      </c>
      <c r="J988" t="str" cm="1">
        <f t="array" ref="J988">_xlfn.IFS(
AND(I988&gt;=89,I988&lt;=92),"D-90",
AND(I988&gt;=58,I988&lt;=62),"D-60",
AND(I988&gt;=28,I988&lt;=32),"D-30",
AND(I988=0),"당월",
TRUE,"그외")</f>
        <v>D-60</v>
      </c>
    </row>
    <row r="989" spans="1:10" ht="17.649999999999999" customHeight="1" x14ac:dyDescent="0.3">
      <c r="A989" s="4">
        <v>46143</v>
      </c>
      <c r="B989" s="5" t="s">
        <v>8</v>
      </c>
      <c r="C989" s="4">
        <v>46082</v>
      </c>
      <c r="D989" s="5" t="s">
        <v>10</v>
      </c>
      <c r="E989" s="6">
        <v>3114</v>
      </c>
      <c r="F989" s="6">
        <v>186019.19428387919</v>
      </c>
      <c r="G989" s="6">
        <v>579263771</v>
      </c>
      <c r="H989" s="6">
        <v>88039468</v>
      </c>
      <c r="I989" s="6">
        <f t="shared" si="15"/>
        <v>61</v>
      </c>
      <c r="J989" t="str" cm="1">
        <f t="array" ref="J989">_xlfn.IFS(
AND(I989&gt;=89,I989&lt;=92),"D-90",
AND(I989&gt;=58,I989&lt;=62),"D-60",
AND(I989&gt;=28,I989&lt;=32),"D-30",
AND(I989=0),"당월",
TRUE,"그외")</f>
        <v>D-60</v>
      </c>
    </row>
    <row r="990" spans="1:10" ht="17.649999999999999" customHeight="1" x14ac:dyDescent="0.3">
      <c r="A990" s="4">
        <v>46143</v>
      </c>
      <c r="B990" s="5" t="s">
        <v>8</v>
      </c>
      <c r="C990" s="4">
        <v>46113</v>
      </c>
      <c r="D990" s="5" t="s">
        <v>9</v>
      </c>
      <c r="E990" s="6">
        <v>592</v>
      </c>
      <c r="F990" s="6">
        <v>192627.36486486491</v>
      </c>
      <c r="G990" s="6">
        <v>114035400</v>
      </c>
      <c r="H990" s="6">
        <v>50083400</v>
      </c>
      <c r="I990" s="6">
        <f t="shared" si="15"/>
        <v>30</v>
      </c>
      <c r="J990" t="str" cm="1">
        <f t="array" ref="J990">_xlfn.IFS(
AND(I990&gt;=89,I990&lt;=92),"D-90",
AND(I990&gt;=58,I990&lt;=62),"D-60",
AND(I990&gt;=28,I990&lt;=32),"D-30",
AND(I990=0),"당월",
TRUE,"그외")</f>
        <v>D-30</v>
      </c>
    </row>
    <row r="991" spans="1:10" ht="17.649999999999999" customHeight="1" x14ac:dyDescent="0.3">
      <c r="A991" s="4">
        <v>46143</v>
      </c>
      <c r="B991" s="5" t="s">
        <v>8</v>
      </c>
      <c r="C991" s="4">
        <v>46113</v>
      </c>
      <c r="D991" s="5" t="s">
        <v>10</v>
      </c>
      <c r="E991" s="6">
        <v>1145</v>
      </c>
      <c r="F991" s="6">
        <v>207575.69868995631</v>
      </c>
      <c r="G991" s="6">
        <v>237674175</v>
      </c>
      <c r="H991" s="6">
        <v>78237418</v>
      </c>
      <c r="I991" s="6">
        <f t="shared" si="15"/>
        <v>30</v>
      </c>
      <c r="J991" t="str" cm="1">
        <f t="array" ref="J991">_xlfn.IFS(
AND(I991&gt;=89,I991&lt;=92),"D-90",
AND(I991&gt;=58,I991&lt;=62),"D-60",
AND(I991&gt;=28,I991&lt;=32),"D-30",
AND(I991=0),"당월",
TRUE,"그외")</f>
        <v>D-30</v>
      </c>
    </row>
    <row r="992" spans="1:10" ht="17.649999999999999" customHeight="1" x14ac:dyDescent="0.3">
      <c r="A992" s="4">
        <v>46143</v>
      </c>
      <c r="B992" s="5" t="s">
        <v>8</v>
      </c>
      <c r="C992" s="4">
        <v>46143</v>
      </c>
      <c r="D992" s="5" t="s">
        <v>9</v>
      </c>
      <c r="E992" s="6">
        <v>36</v>
      </c>
      <c r="F992" s="6">
        <v>230877.77777777781</v>
      </c>
      <c r="G992" s="6">
        <v>8311600</v>
      </c>
      <c r="H992" s="6">
        <v>5201600</v>
      </c>
      <c r="I992" s="6">
        <f t="shared" si="15"/>
        <v>0</v>
      </c>
      <c r="J992" t="str" cm="1">
        <f t="array" ref="J992">_xlfn.IFS(
AND(I992&gt;=89,I992&lt;=92),"D-90",
AND(I992&gt;=58,I992&lt;=62),"D-60",
AND(I992&gt;=28,I992&lt;=32),"D-30",
AND(I992=0),"당월",
TRUE,"그외")</f>
        <v>당월</v>
      </c>
    </row>
    <row r="993" spans="1:10" ht="17.649999999999999" customHeight="1" x14ac:dyDescent="0.3">
      <c r="A993" s="4">
        <v>46143</v>
      </c>
      <c r="B993" s="5" t="s">
        <v>8</v>
      </c>
      <c r="C993" s="4">
        <v>46143</v>
      </c>
      <c r="D993" s="5" t="s">
        <v>10</v>
      </c>
      <c r="E993" s="6">
        <v>495</v>
      </c>
      <c r="F993" s="6">
        <v>221583.13131313131</v>
      </c>
      <c r="G993" s="6">
        <v>109683650</v>
      </c>
      <c r="H993" s="6">
        <v>61700060</v>
      </c>
      <c r="I993" s="6">
        <f t="shared" si="15"/>
        <v>0</v>
      </c>
      <c r="J993" t="str" cm="1">
        <f t="array" ref="J993">_xlfn.IFS(
AND(I993&gt;=89,I993&lt;=92),"D-90",
AND(I993&gt;=58,I993&lt;=62),"D-60",
AND(I993&gt;=28,I993&lt;=32),"D-30",
AND(I993=0),"당월",
TRUE,"그외")</f>
        <v>당월</v>
      </c>
    </row>
    <row r="994" spans="1:10" ht="17.649999999999999" customHeight="1" x14ac:dyDescent="0.3">
      <c r="A994" s="4">
        <v>46143</v>
      </c>
      <c r="B994" s="5" t="s">
        <v>11</v>
      </c>
      <c r="C994" s="4">
        <v>45931</v>
      </c>
      <c r="D994" s="5" t="s">
        <v>10</v>
      </c>
      <c r="E994" s="6">
        <v>21</v>
      </c>
      <c r="F994" s="6">
        <v>243542.8571428571</v>
      </c>
      <c r="G994" s="6">
        <v>5114400</v>
      </c>
      <c r="H994" s="6">
        <v>554400</v>
      </c>
      <c r="I994" s="6">
        <f t="shared" si="15"/>
        <v>212</v>
      </c>
      <c r="J994" t="str" cm="1">
        <f t="array" ref="J994">_xlfn.IFS(
AND(I994&gt;=89,I994&lt;=92),"D-90",
AND(I994&gt;=58,I994&lt;=62),"D-60",
AND(I994&gt;=28,I994&lt;=32),"D-30",
AND(I994=0),"당월",
TRUE,"그외")</f>
        <v>그외</v>
      </c>
    </row>
    <row r="995" spans="1:10" ht="17.649999999999999" customHeight="1" x14ac:dyDescent="0.3">
      <c r="A995" s="4">
        <v>46143</v>
      </c>
      <c r="B995" s="5" t="s">
        <v>11</v>
      </c>
      <c r="C995" s="4">
        <v>45962</v>
      </c>
      <c r="D995" s="5" t="s">
        <v>10</v>
      </c>
      <c r="E995" s="6">
        <v>96</v>
      </c>
      <c r="F995" s="6">
        <v>277645.9375</v>
      </c>
      <c r="G995" s="6">
        <v>26654010</v>
      </c>
      <c r="H995" s="6">
        <v>2562600</v>
      </c>
      <c r="I995" s="6">
        <f t="shared" si="15"/>
        <v>181</v>
      </c>
      <c r="J995" t="str" cm="1">
        <f t="array" ref="J995">_xlfn.IFS(
AND(I995&gt;=89,I995&lt;=92),"D-90",
AND(I995&gt;=58,I995&lt;=62),"D-60",
AND(I995&gt;=28,I995&lt;=32),"D-30",
AND(I995=0),"당월",
TRUE,"그외")</f>
        <v>그외</v>
      </c>
    </row>
    <row r="996" spans="1:10" ht="17.649999999999999" customHeight="1" x14ac:dyDescent="0.3">
      <c r="A996" s="4">
        <v>46143</v>
      </c>
      <c r="B996" s="5" t="s">
        <v>11</v>
      </c>
      <c r="C996" s="4">
        <v>45992</v>
      </c>
      <c r="D996" s="5" t="s">
        <v>10</v>
      </c>
      <c r="E996" s="6">
        <v>182</v>
      </c>
      <c r="F996" s="6">
        <v>222722.08791208791</v>
      </c>
      <c r="G996" s="6">
        <v>40535420</v>
      </c>
      <c r="H996" s="6">
        <v>5769400</v>
      </c>
      <c r="I996" s="6">
        <f t="shared" si="15"/>
        <v>151</v>
      </c>
      <c r="J996" t="str" cm="1">
        <f t="array" ref="J996">_xlfn.IFS(
AND(I996&gt;=89,I996&lt;=92),"D-90",
AND(I996&gt;=58,I996&lt;=62),"D-60",
AND(I996&gt;=28,I996&lt;=32),"D-30",
AND(I996=0),"당월",
TRUE,"그외")</f>
        <v>그외</v>
      </c>
    </row>
    <row r="997" spans="1:10" ht="17.649999999999999" customHeight="1" x14ac:dyDescent="0.3">
      <c r="A997" s="4">
        <v>46143</v>
      </c>
      <c r="B997" s="5" t="s">
        <v>11</v>
      </c>
      <c r="C997" s="4">
        <v>46023</v>
      </c>
      <c r="D997" s="5" t="s">
        <v>10</v>
      </c>
      <c r="E997" s="6">
        <v>482</v>
      </c>
      <c r="F997" s="6">
        <v>208134.36514522819</v>
      </c>
      <c r="G997" s="6">
        <v>100320764</v>
      </c>
      <c r="H997" s="6">
        <v>15613802</v>
      </c>
      <c r="I997" s="6">
        <f t="shared" si="15"/>
        <v>120</v>
      </c>
      <c r="J997" t="str" cm="1">
        <f t="array" ref="J997">_xlfn.IFS(
AND(I997&gt;=89,I997&lt;=92),"D-90",
AND(I997&gt;=58,I997&lt;=62),"D-60",
AND(I997&gt;=28,I997&lt;=32),"D-30",
AND(I997=0),"당월",
TRUE,"그외")</f>
        <v>그외</v>
      </c>
    </row>
    <row r="998" spans="1:10" ht="17.649999999999999" customHeight="1" x14ac:dyDescent="0.3">
      <c r="A998" s="4">
        <v>46143</v>
      </c>
      <c r="B998" s="5" t="s">
        <v>11</v>
      </c>
      <c r="C998" s="4">
        <v>46054</v>
      </c>
      <c r="D998" s="5" t="s">
        <v>9</v>
      </c>
      <c r="E998" s="6">
        <v>398</v>
      </c>
      <c r="F998" s="6">
        <v>185592.9648241206</v>
      </c>
      <c r="G998" s="6">
        <v>73866000</v>
      </c>
      <c r="H998" s="6">
        <v>8756000</v>
      </c>
      <c r="I998" s="6">
        <f t="shared" si="15"/>
        <v>89</v>
      </c>
      <c r="J998" t="str" cm="1">
        <f t="array" ref="J998">_xlfn.IFS(
AND(I998&gt;=89,I998&lt;=92),"D-90",
AND(I998&gt;=58,I998&lt;=62),"D-60",
AND(I998&gt;=28,I998&lt;=32),"D-30",
AND(I998=0),"당월",
TRUE,"그외")</f>
        <v>D-90</v>
      </c>
    </row>
    <row r="999" spans="1:10" ht="17.649999999999999" customHeight="1" x14ac:dyDescent="0.3">
      <c r="A999" s="4">
        <v>46143</v>
      </c>
      <c r="B999" s="5" t="s">
        <v>11</v>
      </c>
      <c r="C999" s="4">
        <v>46054</v>
      </c>
      <c r="D999" s="5" t="s">
        <v>10</v>
      </c>
      <c r="E999" s="6">
        <v>507</v>
      </c>
      <c r="F999" s="6">
        <v>205403.89743589741</v>
      </c>
      <c r="G999" s="6">
        <v>104139776</v>
      </c>
      <c r="H999" s="6">
        <v>11938902</v>
      </c>
      <c r="I999" s="6">
        <f t="shared" si="15"/>
        <v>89</v>
      </c>
      <c r="J999" t="str" cm="1">
        <f t="array" ref="J999">_xlfn.IFS(
AND(I999&gt;=89,I999&lt;=92),"D-90",
AND(I999&gt;=58,I999&lt;=62),"D-60",
AND(I999&gt;=28,I999&lt;=32),"D-30",
AND(I999=0),"당월",
TRUE,"그외")</f>
        <v>D-90</v>
      </c>
    </row>
    <row r="1000" spans="1:10" ht="17.649999999999999" customHeight="1" x14ac:dyDescent="0.3">
      <c r="A1000" s="4">
        <v>46143</v>
      </c>
      <c r="B1000" s="5" t="s">
        <v>11</v>
      </c>
      <c r="C1000" s="4">
        <v>46082</v>
      </c>
      <c r="D1000" s="5" t="s">
        <v>9</v>
      </c>
      <c r="E1000" s="6">
        <v>976</v>
      </c>
      <c r="F1000" s="6">
        <v>198960.45081967211</v>
      </c>
      <c r="G1000" s="6">
        <v>194185400</v>
      </c>
      <c r="H1000" s="6">
        <v>27230400</v>
      </c>
      <c r="I1000" s="6">
        <f t="shared" si="15"/>
        <v>61</v>
      </c>
      <c r="J1000" t="str" cm="1">
        <f t="array" ref="J1000">_xlfn.IFS(
AND(I1000&gt;=89,I1000&lt;=92),"D-90",
AND(I1000&gt;=58,I1000&lt;=62),"D-60",
AND(I1000&gt;=28,I1000&lt;=32),"D-30",
AND(I1000=0),"당월",
TRUE,"그외")</f>
        <v>D-60</v>
      </c>
    </row>
    <row r="1001" spans="1:10" ht="17.649999999999999" customHeight="1" x14ac:dyDescent="0.3">
      <c r="A1001" s="4">
        <v>46143</v>
      </c>
      <c r="B1001" s="5" t="s">
        <v>11</v>
      </c>
      <c r="C1001" s="4">
        <v>46082</v>
      </c>
      <c r="D1001" s="5" t="s">
        <v>10</v>
      </c>
      <c r="E1001" s="6">
        <v>1121</v>
      </c>
      <c r="F1001" s="6">
        <v>216918.3710972346</v>
      </c>
      <c r="G1001" s="6">
        <v>243165494</v>
      </c>
      <c r="H1001" s="6">
        <v>31750308</v>
      </c>
      <c r="I1001" s="6">
        <f t="shared" si="15"/>
        <v>61</v>
      </c>
      <c r="J1001" t="str" cm="1">
        <f t="array" ref="J1001">_xlfn.IFS(
AND(I1001&gt;=89,I1001&lt;=92),"D-90",
AND(I1001&gt;=58,I1001&lt;=62),"D-60",
AND(I1001&gt;=28,I1001&lt;=32),"D-30",
AND(I1001=0),"당월",
TRUE,"그외")</f>
        <v>D-60</v>
      </c>
    </row>
    <row r="1002" spans="1:10" ht="17.649999999999999" customHeight="1" x14ac:dyDescent="0.3">
      <c r="A1002" s="4">
        <v>46143</v>
      </c>
      <c r="B1002" s="5" t="s">
        <v>11</v>
      </c>
      <c r="C1002" s="4">
        <v>46113</v>
      </c>
      <c r="D1002" s="5" t="s">
        <v>9</v>
      </c>
      <c r="E1002" s="6">
        <v>251</v>
      </c>
      <c r="F1002" s="6">
        <v>198091.23505976089</v>
      </c>
      <c r="G1002" s="6">
        <v>49720900</v>
      </c>
      <c r="H1002" s="6">
        <v>21582900</v>
      </c>
      <c r="I1002" s="6">
        <f t="shared" si="15"/>
        <v>30</v>
      </c>
      <c r="J1002" t="str" cm="1">
        <f t="array" ref="J1002">_xlfn.IFS(
AND(I1002&gt;=89,I1002&lt;=92),"D-90",
AND(I1002&gt;=58,I1002&lt;=62),"D-60",
AND(I1002&gt;=28,I1002&lt;=32),"D-30",
AND(I1002=0),"당월",
TRUE,"그외")</f>
        <v>D-30</v>
      </c>
    </row>
    <row r="1003" spans="1:10" ht="17.649999999999999" customHeight="1" x14ac:dyDescent="0.3">
      <c r="A1003" s="4">
        <v>46143</v>
      </c>
      <c r="B1003" s="5" t="s">
        <v>11</v>
      </c>
      <c r="C1003" s="4">
        <v>46113</v>
      </c>
      <c r="D1003" s="5" t="s">
        <v>10</v>
      </c>
      <c r="E1003" s="6">
        <v>782</v>
      </c>
      <c r="F1003" s="6">
        <v>205440.22634271099</v>
      </c>
      <c r="G1003" s="6">
        <v>160654257</v>
      </c>
      <c r="H1003" s="6">
        <v>58453015</v>
      </c>
      <c r="I1003" s="6">
        <f t="shared" si="15"/>
        <v>30</v>
      </c>
      <c r="J1003" t="str" cm="1">
        <f t="array" ref="J1003">_xlfn.IFS(
AND(I1003&gt;=89,I1003&lt;=92),"D-90",
AND(I1003&gt;=58,I1003&lt;=62),"D-60",
AND(I1003&gt;=28,I1003&lt;=32),"D-30",
AND(I1003=0),"당월",
TRUE,"그외")</f>
        <v>D-30</v>
      </c>
    </row>
    <row r="1004" spans="1:10" ht="17.649999999999999" customHeight="1" x14ac:dyDescent="0.3">
      <c r="A1004" s="4">
        <v>46143</v>
      </c>
      <c r="B1004" s="5" t="s">
        <v>11</v>
      </c>
      <c r="C1004" s="4">
        <v>46143</v>
      </c>
      <c r="D1004" s="5" t="s">
        <v>9</v>
      </c>
      <c r="E1004" s="6">
        <v>4</v>
      </c>
      <c r="F1004" s="6">
        <v>183400</v>
      </c>
      <c r="G1004" s="6">
        <v>733600</v>
      </c>
      <c r="H1004" s="6">
        <v>111600</v>
      </c>
      <c r="I1004" s="6">
        <f t="shared" si="15"/>
        <v>0</v>
      </c>
      <c r="J1004" t="str" cm="1">
        <f t="array" ref="J1004">_xlfn.IFS(
AND(I1004&gt;=89,I1004&lt;=92),"D-90",
AND(I1004&gt;=58,I1004&lt;=62),"D-60",
AND(I1004&gt;=28,I1004&lt;=32),"D-30",
AND(I1004=0),"당월",
TRUE,"그외")</f>
        <v>당월</v>
      </c>
    </row>
    <row r="1005" spans="1:10" ht="17.649999999999999" customHeight="1" x14ac:dyDescent="0.3">
      <c r="A1005" s="4">
        <v>46143</v>
      </c>
      <c r="B1005" s="5" t="s">
        <v>11</v>
      </c>
      <c r="C1005" s="4">
        <v>46143</v>
      </c>
      <c r="D1005" s="5" t="s">
        <v>10</v>
      </c>
      <c r="E1005" s="6">
        <v>139</v>
      </c>
      <c r="F1005" s="6">
        <v>224786.618705036</v>
      </c>
      <c r="G1005" s="6">
        <v>31245340</v>
      </c>
      <c r="H1005" s="6">
        <v>14337775</v>
      </c>
      <c r="I1005" s="6">
        <f t="shared" si="15"/>
        <v>0</v>
      </c>
      <c r="J1005" t="str" cm="1">
        <f t="array" ref="J1005">_xlfn.IFS(
AND(I1005&gt;=89,I1005&lt;=92),"D-90",
AND(I1005&gt;=58,I1005&lt;=62),"D-60",
AND(I1005&gt;=28,I1005&lt;=32),"D-30",
AND(I1005=0),"당월",
TRUE,"그외")</f>
        <v>당월</v>
      </c>
    </row>
    <row r="1006" spans="1:10" ht="17.649999999999999" customHeight="1" x14ac:dyDescent="0.3">
      <c r="A1006" s="4">
        <v>46143</v>
      </c>
      <c r="B1006" s="5" t="s">
        <v>12</v>
      </c>
      <c r="C1006" s="4">
        <v>45962</v>
      </c>
      <c r="D1006" s="5" t="s">
        <v>10</v>
      </c>
      <c r="E1006" s="6">
        <v>84</v>
      </c>
      <c r="F1006" s="6">
        <v>219397.38095238089</v>
      </c>
      <c r="G1006" s="6">
        <v>18429380</v>
      </c>
      <c r="H1006" s="6">
        <v>2242800</v>
      </c>
      <c r="I1006" s="6">
        <f t="shared" si="15"/>
        <v>181</v>
      </c>
      <c r="J1006" t="str" cm="1">
        <f t="array" ref="J1006">_xlfn.IFS(
AND(I1006&gt;=89,I1006&lt;=92),"D-90",
AND(I1006&gt;=58,I1006&lt;=62),"D-60",
AND(I1006&gt;=28,I1006&lt;=32),"D-30",
AND(I1006=0),"당월",
TRUE,"그외")</f>
        <v>그외</v>
      </c>
    </row>
    <row r="1007" spans="1:10" ht="17.649999999999999" customHeight="1" x14ac:dyDescent="0.3">
      <c r="A1007" s="4">
        <v>46143</v>
      </c>
      <c r="B1007" s="5" t="s">
        <v>12</v>
      </c>
      <c r="C1007" s="4">
        <v>45992</v>
      </c>
      <c r="D1007" s="5" t="s">
        <v>10</v>
      </c>
      <c r="E1007" s="6">
        <v>43</v>
      </c>
      <c r="F1007" s="6">
        <v>266952.5581395349</v>
      </c>
      <c r="G1007" s="6">
        <v>11478960</v>
      </c>
      <c r="H1007" s="6">
        <v>1313100</v>
      </c>
      <c r="I1007" s="6">
        <f t="shared" si="15"/>
        <v>151</v>
      </c>
      <c r="J1007" t="str" cm="1">
        <f t="array" ref="J1007">_xlfn.IFS(
AND(I1007&gt;=89,I1007&lt;=92),"D-90",
AND(I1007&gt;=58,I1007&lt;=62),"D-60",
AND(I1007&gt;=28,I1007&lt;=32),"D-30",
AND(I1007=0),"당월",
TRUE,"그외")</f>
        <v>그외</v>
      </c>
    </row>
    <row r="1008" spans="1:10" ht="17.649999999999999" customHeight="1" x14ac:dyDescent="0.3">
      <c r="A1008" s="4">
        <v>46143</v>
      </c>
      <c r="B1008" s="5" t="s">
        <v>12</v>
      </c>
      <c r="C1008" s="4">
        <v>46023</v>
      </c>
      <c r="D1008" s="5" t="s">
        <v>10</v>
      </c>
      <c r="E1008" s="6">
        <v>228</v>
      </c>
      <c r="F1008" s="6">
        <v>260587.41228070171</v>
      </c>
      <c r="G1008" s="6">
        <v>59413930</v>
      </c>
      <c r="H1008" s="6">
        <v>7364400</v>
      </c>
      <c r="I1008" s="6">
        <f t="shared" si="15"/>
        <v>120</v>
      </c>
      <c r="J1008" t="str" cm="1">
        <f t="array" ref="J1008">_xlfn.IFS(
AND(I1008&gt;=89,I1008&lt;=92),"D-90",
AND(I1008&gt;=58,I1008&lt;=62),"D-60",
AND(I1008&gt;=28,I1008&lt;=32),"D-30",
AND(I1008=0),"당월",
TRUE,"그외")</f>
        <v>그외</v>
      </c>
    </row>
    <row r="1009" spans="1:10" ht="17.649999999999999" customHeight="1" x14ac:dyDescent="0.3">
      <c r="A1009" s="4">
        <v>46143</v>
      </c>
      <c r="B1009" s="5" t="s">
        <v>12</v>
      </c>
      <c r="C1009" s="4">
        <v>46054</v>
      </c>
      <c r="D1009" s="5" t="s">
        <v>9</v>
      </c>
      <c r="E1009" s="6">
        <v>196</v>
      </c>
      <c r="F1009" s="6">
        <v>184448.97959183669</v>
      </c>
      <c r="G1009" s="6">
        <v>36152000</v>
      </c>
      <c r="H1009" s="6">
        <v>4312000</v>
      </c>
      <c r="I1009" s="6">
        <f t="shared" si="15"/>
        <v>89</v>
      </c>
      <c r="J1009" t="str" cm="1">
        <f t="array" ref="J1009">_xlfn.IFS(
AND(I1009&gt;=89,I1009&lt;=92),"D-90",
AND(I1009&gt;=58,I1009&lt;=62),"D-60",
AND(I1009&gt;=28,I1009&lt;=32),"D-30",
AND(I1009=0),"당월",
TRUE,"그외")</f>
        <v>D-90</v>
      </c>
    </row>
    <row r="1010" spans="1:10" ht="17.649999999999999" customHeight="1" x14ac:dyDescent="0.3">
      <c r="A1010" s="4">
        <v>46143</v>
      </c>
      <c r="B1010" s="5" t="s">
        <v>12</v>
      </c>
      <c r="C1010" s="4">
        <v>46054</v>
      </c>
      <c r="D1010" s="5" t="s">
        <v>10</v>
      </c>
      <c r="E1010" s="6">
        <v>425</v>
      </c>
      <c r="F1010" s="6">
        <v>215854.60705882349</v>
      </c>
      <c r="G1010" s="6">
        <v>91738208</v>
      </c>
      <c r="H1010" s="6">
        <v>9441100</v>
      </c>
      <c r="I1010" s="6">
        <f t="shared" si="15"/>
        <v>89</v>
      </c>
      <c r="J1010" t="str" cm="1">
        <f t="array" ref="J1010">_xlfn.IFS(
AND(I1010&gt;=89,I1010&lt;=92),"D-90",
AND(I1010&gt;=58,I1010&lt;=62),"D-60",
AND(I1010&gt;=28,I1010&lt;=32),"D-30",
AND(I1010=0),"당월",
TRUE,"그외")</f>
        <v>D-90</v>
      </c>
    </row>
    <row r="1011" spans="1:10" ht="17.649999999999999" customHeight="1" x14ac:dyDescent="0.3">
      <c r="A1011" s="4">
        <v>46143</v>
      </c>
      <c r="B1011" s="5" t="s">
        <v>12</v>
      </c>
      <c r="C1011" s="4">
        <v>46082</v>
      </c>
      <c r="D1011" s="5" t="s">
        <v>9</v>
      </c>
      <c r="E1011" s="6">
        <v>963</v>
      </c>
      <c r="F1011" s="6">
        <v>173912.46105919001</v>
      </c>
      <c r="G1011" s="6">
        <v>167477700</v>
      </c>
      <c r="H1011" s="6">
        <v>26867700</v>
      </c>
      <c r="I1011" s="6">
        <f t="shared" si="15"/>
        <v>61</v>
      </c>
      <c r="J1011" t="str" cm="1">
        <f t="array" ref="J1011">_xlfn.IFS(
AND(I1011&gt;=89,I1011&lt;=92),"D-90",
AND(I1011&gt;=58,I1011&lt;=62),"D-60",
AND(I1011&gt;=28,I1011&lt;=32),"D-30",
AND(I1011=0),"당월",
TRUE,"그외")</f>
        <v>D-60</v>
      </c>
    </row>
    <row r="1012" spans="1:10" ht="17.649999999999999" customHeight="1" x14ac:dyDescent="0.3">
      <c r="A1012" s="4">
        <v>46143</v>
      </c>
      <c r="B1012" s="5" t="s">
        <v>12</v>
      </c>
      <c r="C1012" s="4">
        <v>46082</v>
      </c>
      <c r="D1012" s="5" t="s">
        <v>10</v>
      </c>
      <c r="E1012" s="6">
        <v>1100</v>
      </c>
      <c r="F1012" s="6">
        <v>202490.58909090911</v>
      </c>
      <c r="G1012" s="6">
        <v>222739648</v>
      </c>
      <c r="H1012" s="6">
        <v>31087443</v>
      </c>
      <c r="I1012" s="6">
        <f t="shared" si="15"/>
        <v>61</v>
      </c>
      <c r="J1012" t="str" cm="1">
        <f t="array" ref="J1012">_xlfn.IFS(
AND(I1012&gt;=89,I1012&lt;=92),"D-90",
AND(I1012&gt;=58,I1012&lt;=62),"D-60",
AND(I1012&gt;=28,I1012&lt;=32),"D-30",
AND(I1012=0),"당월",
TRUE,"그외")</f>
        <v>D-60</v>
      </c>
    </row>
    <row r="1013" spans="1:10" ht="17.649999999999999" customHeight="1" x14ac:dyDescent="0.3">
      <c r="A1013" s="4">
        <v>46143</v>
      </c>
      <c r="B1013" s="5" t="s">
        <v>12</v>
      </c>
      <c r="C1013" s="4">
        <v>46113</v>
      </c>
      <c r="D1013" s="5" t="s">
        <v>9</v>
      </c>
      <c r="E1013" s="6">
        <v>172</v>
      </c>
      <c r="F1013" s="6">
        <v>222747.67441860461</v>
      </c>
      <c r="G1013" s="6">
        <v>38312600</v>
      </c>
      <c r="H1013" s="6">
        <v>12792600</v>
      </c>
      <c r="I1013" s="6">
        <f t="shared" si="15"/>
        <v>30</v>
      </c>
      <c r="J1013" t="str" cm="1">
        <f t="array" ref="J1013">_xlfn.IFS(
AND(I1013&gt;=89,I1013&lt;=92),"D-90",
AND(I1013&gt;=58,I1013&lt;=62),"D-60",
AND(I1013&gt;=28,I1013&lt;=32),"D-30",
AND(I1013=0),"당월",
TRUE,"그외")</f>
        <v>D-30</v>
      </c>
    </row>
    <row r="1014" spans="1:10" ht="17.649999999999999" customHeight="1" x14ac:dyDescent="0.3">
      <c r="A1014" s="4">
        <v>46143</v>
      </c>
      <c r="B1014" s="5" t="s">
        <v>12</v>
      </c>
      <c r="C1014" s="4">
        <v>46113</v>
      </c>
      <c r="D1014" s="5" t="s">
        <v>10</v>
      </c>
      <c r="E1014" s="6">
        <v>619</v>
      </c>
      <c r="F1014" s="6">
        <v>216562.49111470109</v>
      </c>
      <c r="G1014" s="6">
        <v>134052182</v>
      </c>
      <c r="H1014" s="6">
        <v>37788696</v>
      </c>
      <c r="I1014" s="6">
        <f t="shared" si="15"/>
        <v>30</v>
      </c>
      <c r="J1014" t="str" cm="1">
        <f t="array" ref="J1014">_xlfn.IFS(
AND(I1014&gt;=89,I1014&lt;=92),"D-90",
AND(I1014&gt;=58,I1014&lt;=62),"D-60",
AND(I1014&gt;=28,I1014&lt;=32),"D-30",
AND(I1014=0),"당월",
TRUE,"그외")</f>
        <v>D-30</v>
      </c>
    </row>
    <row r="1015" spans="1:10" ht="17.649999999999999" customHeight="1" x14ac:dyDescent="0.3">
      <c r="A1015" s="4">
        <v>46143</v>
      </c>
      <c r="B1015" s="5" t="s">
        <v>12</v>
      </c>
      <c r="C1015" s="4">
        <v>46143</v>
      </c>
      <c r="D1015" s="5" t="s">
        <v>9</v>
      </c>
      <c r="E1015" s="6">
        <v>4</v>
      </c>
      <c r="F1015" s="6">
        <v>127900</v>
      </c>
      <c r="G1015" s="6">
        <v>511600</v>
      </c>
      <c r="H1015" s="6">
        <v>111600</v>
      </c>
      <c r="I1015" s="6">
        <f t="shared" si="15"/>
        <v>0</v>
      </c>
      <c r="J1015" t="str" cm="1">
        <f t="array" ref="J1015">_xlfn.IFS(
AND(I1015&gt;=89,I1015&lt;=92),"D-90",
AND(I1015&gt;=58,I1015&lt;=62),"D-60",
AND(I1015&gt;=28,I1015&lt;=32),"D-30",
AND(I1015=0),"당월",
TRUE,"그외")</f>
        <v>당월</v>
      </c>
    </row>
    <row r="1016" spans="1:10" ht="17.649999999999999" customHeight="1" x14ac:dyDescent="0.3">
      <c r="A1016" s="4">
        <v>46143</v>
      </c>
      <c r="B1016" s="5" t="s">
        <v>12</v>
      </c>
      <c r="C1016" s="4">
        <v>46143</v>
      </c>
      <c r="D1016" s="5" t="s">
        <v>10</v>
      </c>
      <c r="E1016" s="6">
        <v>96</v>
      </c>
      <c r="F1016" s="6">
        <v>247431.0625</v>
      </c>
      <c r="G1016" s="6">
        <v>23753382</v>
      </c>
      <c r="H1016" s="6">
        <v>12402293</v>
      </c>
      <c r="I1016" s="6">
        <f t="shared" si="15"/>
        <v>0</v>
      </c>
      <c r="J1016" t="str" cm="1">
        <f t="array" ref="J1016">_xlfn.IFS(
AND(I1016&gt;=89,I1016&lt;=92),"D-90",
AND(I1016&gt;=58,I1016&lt;=62),"D-60",
AND(I1016&gt;=28,I1016&lt;=32),"D-30",
AND(I1016=0),"당월",
TRUE,"그외")</f>
        <v>당월</v>
      </c>
    </row>
    <row r="1017" spans="1:10" ht="17.649999999999999" customHeight="1" x14ac:dyDescent="0.3">
      <c r="A1017" s="4">
        <v>46143</v>
      </c>
      <c r="B1017" s="5" t="s">
        <v>13</v>
      </c>
      <c r="C1017" s="4">
        <v>45962</v>
      </c>
      <c r="D1017" s="5" t="s">
        <v>10</v>
      </c>
      <c r="E1017" s="6">
        <v>28</v>
      </c>
      <c r="F1017" s="6">
        <v>226242.8571428571</v>
      </c>
      <c r="G1017" s="6">
        <v>6334800</v>
      </c>
      <c r="H1017" s="6">
        <v>747600</v>
      </c>
      <c r="I1017" s="6">
        <f t="shared" si="15"/>
        <v>181</v>
      </c>
      <c r="J1017" t="str" cm="1">
        <f t="array" ref="J1017">_xlfn.IFS(
AND(I1017&gt;=89,I1017&lt;=92),"D-90",
AND(I1017&gt;=58,I1017&lt;=62),"D-60",
AND(I1017&gt;=28,I1017&lt;=32),"D-30",
AND(I1017=0),"당월",
TRUE,"그외")</f>
        <v>그외</v>
      </c>
    </row>
    <row r="1018" spans="1:10" ht="17.649999999999999" customHeight="1" x14ac:dyDescent="0.3">
      <c r="A1018" s="4">
        <v>46143</v>
      </c>
      <c r="B1018" s="5" t="s">
        <v>13</v>
      </c>
      <c r="C1018" s="4">
        <v>45992</v>
      </c>
      <c r="D1018" s="5" t="s">
        <v>10</v>
      </c>
      <c r="E1018" s="6">
        <v>65</v>
      </c>
      <c r="F1018" s="6">
        <v>273746.13846153847</v>
      </c>
      <c r="G1018" s="6">
        <v>17793499</v>
      </c>
      <c r="H1018" s="6">
        <v>2173888</v>
      </c>
      <c r="I1018" s="6">
        <f t="shared" si="15"/>
        <v>151</v>
      </c>
      <c r="J1018" t="str" cm="1">
        <f t="array" ref="J1018">_xlfn.IFS(
AND(I1018&gt;=89,I1018&lt;=92),"D-90",
AND(I1018&gt;=58,I1018&lt;=62),"D-60",
AND(I1018&gt;=28,I1018&lt;=32),"D-30",
AND(I1018=0),"당월",
TRUE,"그외")</f>
        <v>그외</v>
      </c>
    </row>
    <row r="1019" spans="1:10" ht="17.649999999999999" customHeight="1" x14ac:dyDescent="0.3">
      <c r="A1019" s="4">
        <v>46143</v>
      </c>
      <c r="B1019" s="5" t="s">
        <v>13</v>
      </c>
      <c r="C1019" s="4">
        <v>46023</v>
      </c>
      <c r="D1019" s="5" t="s">
        <v>10</v>
      </c>
      <c r="E1019" s="6">
        <v>465</v>
      </c>
      <c r="F1019" s="6">
        <v>211488.70107526879</v>
      </c>
      <c r="G1019" s="6">
        <v>98342246</v>
      </c>
      <c r="H1019" s="6">
        <v>15089862</v>
      </c>
      <c r="I1019" s="6">
        <f t="shared" si="15"/>
        <v>120</v>
      </c>
      <c r="J1019" t="str" cm="1">
        <f t="array" ref="J1019">_xlfn.IFS(
AND(I1019&gt;=89,I1019&lt;=92),"D-90",
AND(I1019&gt;=58,I1019&lt;=62),"D-60",
AND(I1019&gt;=28,I1019&lt;=32),"D-30",
AND(I1019=0),"당월",
TRUE,"그외")</f>
        <v>그외</v>
      </c>
    </row>
    <row r="1020" spans="1:10" ht="17.649999999999999" customHeight="1" x14ac:dyDescent="0.3">
      <c r="A1020" s="4">
        <v>46143</v>
      </c>
      <c r="B1020" s="5" t="s">
        <v>13</v>
      </c>
      <c r="C1020" s="4">
        <v>46054</v>
      </c>
      <c r="D1020" s="5" t="s">
        <v>9</v>
      </c>
      <c r="E1020" s="6">
        <v>97</v>
      </c>
      <c r="F1020" s="6">
        <v>120030.9278350516</v>
      </c>
      <c r="G1020" s="6">
        <v>11643000</v>
      </c>
      <c r="H1020" s="6">
        <v>2134000</v>
      </c>
      <c r="I1020" s="6">
        <f t="shared" si="15"/>
        <v>89</v>
      </c>
      <c r="J1020" t="str" cm="1">
        <f t="array" ref="J1020">_xlfn.IFS(
AND(I1020&gt;=89,I1020&lt;=92),"D-90",
AND(I1020&gt;=58,I1020&lt;=62),"D-60",
AND(I1020&gt;=28,I1020&lt;=32),"D-30",
AND(I1020=0),"당월",
TRUE,"그외")</f>
        <v>D-90</v>
      </c>
    </row>
    <row r="1021" spans="1:10" ht="17.649999999999999" customHeight="1" x14ac:dyDescent="0.3">
      <c r="A1021" s="4">
        <v>46143</v>
      </c>
      <c r="B1021" s="5" t="s">
        <v>13</v>
      </c>
      <c r="C1021" s="4">
        <v>46054</v>
      </c>
      <c r="D1021" s="5" t="s">
        <v>10</v>
      </c>
      <c r="E1021" s="6">
        <v>471</v>
      </c>
      <c r="F1021" s="6">
        <v>196067.8598726115</v>
      </c>
      <c r="G1021" s="6">
        <v>92347962</v>
      </c>
      <c r="H1021" s="6">
        <v>10646177</v>
      </c>
      <c r="I1021" s="6">
        <f t="shared" si="15"/>
        <v>89</v>
      </c>
      <c r="J1021" t="str" cm="1">
        <f t="array" ref="J1021">_xlfn.IFS(
AND(I1021&gt;=89,I1021&lt;=92),"D-90",
AND(I1021&gt;=58,I1021&lt;=62),"D-60",
AND(I1021&gt;=28,I1021&lt;=32),"D-30",
AND(I1021=0),"당월",
TRUE,"그외")</f>
        <v>D-90</v>
      </c>
    </row>
    <row r="1022" spans="1:10" ht="17.649999999999999" customHeight="1" x14ac:dyDescent="0.3">
      <c r="A1022" s="4">
        <v>46143</v>
      </c>
      <c r="B1022" s="5" t="s">
        <v>13</v>
      </c>
      <c r="C1022" s="4">
        <v>46082</v>
      </c>
      <c r="D1022" s="5" t="s">
        <v>9</v>
      </c>
      <c r="E1022" s="6">
        <v>1154</v>
      </c>
      <c r="F1022" s="6">
        <v>137960.65857885609</v>
      </c>
      <c r="G1022" s="6">
        <v>159206600</v>
      </c>
      <c r="H1022" s="6">
        <v>32196600</v>
      </c>
      <c r="I1022" s="6">
        <f t="shared" si="15"/>
        <v>61</v>
      </c>
      <c r="J1022" t="str" cm="1">
        <f t="array" ref="J1022">_xlfn.IFS(
AND(I1022&gt;=89,I1022&lt;=92),"D-90",
AND(I1022&gt;=58,I1022&lt;=62),"D-60",
AND(I1022&gt;=28,I1022&lt;=32),"D-30",
AND(I1022=0),"당월",
TRUE,"그외")</f>
        <v>D-60</v>
      </c>
    </row>
    <row r="1023" spans="1:10" ht="17.649999999999999" customHeight="1" x14ac:dyDescent="0.3">
      <c r="A1023" s="4">
        <v>46143</v>
      </c>
      <c r="B1023" s="5" t="s">
        <v>13</v>
      </c>
      <c r="C1023" s="4">
        <v>46082</v>
      </c>
      <c r="D1023" s="5" t="s">
        <v>10</v>
      </c>
      <c r="E1023" s="6">
        <v>2068</v>
      </c>
      <c r="F1023" s="6">
        <v>174116.82495164411</v>
      </c>
      <c r="G1023" s="6">
        <v>360073594</v>
      </c>
      <c r="H1023" s="6">
        <v>58468675</v>
      </c>
      <c r="I1023" s="6">
        <f t="shared" si="15"/>
        <v>61</v>
      </c>
      <c r="J1023" t="str" cm="1">
        <f t="array" ref="J1023">_xlfn.IFS(
AND(I1023&gt;=89,I1023&lt;=92),"D-90",
AND(I1023&gt;=58,I1023&lt;=62),"D-60",
AND(I1023&gt;=28,I1023&lt;=32),"D-30",
AND(I1023=0),"당월",
TRUE,"그외")</f>
        <v>D-60</v>
      </c>
    </row>
    <row r="1024" spans="1:10" ht="17.649999999999999" customHeight="1" x14ac:dyDescent="0.3">
      <c r="A1024" s="4">
        <v>46143</v>
      </c>
      <c r="B1024" s="5" t="s">
        <v>13</v>
      </c>
      <c r="C1024" s="4">
        <v>46113</v>
      </c>
      <c r="D1024" s="5" t="s">
        <v>9</v>
      </c>
      <c r="E1024" s="6">
        <v>370</v>
      </c>
      <c r="F1024" s="6">
        <v>168067.02702702701</v>
      </c>
      <c r="G1024" s="6">
        <v>62184800</v>
      </c>
      <c r="H1024" s="6">
        <v>27915800</v>
      </c>
      <c r="I1024" s="6">
        <f t="shared" si="15"/>
        <v>30</v>
      </c>
      <c r="J1024" t="str" cm="1">
        <f t="array" ref="J1024">_xlfn.IFS(
AND(I1024&gt;=89,I1024&lt;=92),"D-90",
AND(I1024&gt;=58,I1024&lt;=62),"D-60",
AND(I1024&gt;=28,I1024&lt;=32),"D-30",
AND(I1024=0),"당월",
TRUE,"그외")</f>
        <v>D-30</v>
      </c>
    </row>
    <row r="1025" spans="1:10" ht="17.649999999999999" customHeight="1" x14ac:dyDescent="0.3">
      <c r="A1025" s="4">
        <v>46143</v>
      </c>
      <c r="B1025" s="5" t="s">
        <v>13</v>
      </c>
      <c r="C1025" s="4">
        <v>46113</v>
      </c>
      <c r="D1025" s="5" t="s">
        <v>10</v>
      </c>
      <c r="E1025" s="6">
        <v>1233</v>
      </c>
      <c r="F1025" s="6">
        <v>185738.16788321169</v>
      </c>
      <c r="G1025" s="6">
        <v>229015161</v>
      </c>
      <c r="H1025" s="6">
        <v>84736142</v>
      </c>
      <c r="I1025" s="6">
        <f t="shared" si="15"/>
        <v>30</v>
      </c>
      <c r="J1025" t="str" cm="1">
        <f t="array" ref="J1025">_xlfn.IFS(
AND(I1025&gt;=89,I1025&lt;=92),"D-90",
AND(I1025&gt;=58,I1025&lt;=62),"D-60",
AND(I1025&gt;=28,I1025&lt;=32),"D-30",
AND(I1025=0),"당월",
TRUE,"그외")</f>
        <v>D-30</v>
      </c>
    </row>
    <row r="1026" spans="1:10" ht="17.649999999999999" customHeight="1" x14ac:dyDescent="0.3">
      <c r="A1026" s="4">
        <v>46143</v>
      </c>
      <c r="B1026" s="5" t="s">
        <v>13</v>
      </c>
      <c r="C1026" s="4">
        <v>46143</v>
      </c>
      <c r="D1026" s="5" t="s">
        <v>9</v>
      </c>
      <c r="E1026" s="6">
        <v>21</v>
      </c>
      <c r="F1026" s="6">
        <v>218102.1428571429</v>
      </c>
      <c r="G1026" s="6">
        <v>4580145</v>
      </c>
      <c r="H1026" s="6">
        <v>3093600</v>
      </c>
      <c r="I1026" s="6">
        <f t="shared" si="15"/>
        <v>0</v>
      </c>
      <c r="J1026" t="str" cm="1">
        <f t="array" ref="J1026">_xlfn.IFS(
AND(I1026&gt;=89,I1026&lt;=92),"D-90",
AND(I1026&gt;=58,I1026&lt;=62),"D-60",
AND(I1026&gt;=28,I1026&lt;=32),"D-30",
AND(I1026=0),"당월",
TRUE,"그외")</f>
        <v>당월</v>
      </c>
    </row>
    <row r="1027" spans="1:10" ht="17.649999999999999" customHeight="1" x14ac:dyDescent="0.3">
      <c r="A1027" s="4">
        <v>46143</v>
      </c>
      <c r="B1027" s="5" t="s">
        <v>13</v>
      </c>
      <c r="C1027" s="4">
        <v>46143</v>
      </c>
      <c r="D1027" s="5" t="s">
        <v>10</v>
      </c>
      <c r="E1027" s="6">
        <v>328</v>
      </c>
      <c r="F1027" s="6">
        <v>218056.21951219509</v>
      </c>
      <c r="G1027" s="6">
        <v>71522440</v>
      </c>
      <c r="H1027" s="6">
        <v>39009294</v>
      </c>
      <c r="I1027" s="6">
        <f t="shared" ref="I1027:I1090" si="16">A1027-C1027</f>
        <v>0</v>
      </c>
      <c r="J1027" t="str" cm="1">
        <f t="array" ref="J1027">_xlfn.IFS(
AND(I1027&gt;=89,I1027&lt;=92),"D-90",
AND(I1027&gt;=58,I1027&lt;=62),"D-60",
AND(I1027&gt;=28,I1027&lt;=32),"D-30",
AND(I1027=0),"당월",
TRUE,"그외")</f>
        <v>당월</v>
      </c>
    </row>
    <row r="1028" spans="1:10" ht="17.649999999999999" customHeight="1" x14ac:dyDescent="0.3">
      <c r="A1028" s="4">
        <v>46174</v>
      </c>
      <c r="B1028" s="5" t="s">
        <v>8</v>
      </c>
      <c r="C1028" s="4">
        <v>45931</v>
      </c>
      <c r="D1028" s="5" t="s">
        <v>10</v>
      </c>
      <c r="E1028" s="6">
        <v>17</v>
      </c>
      <c r="F1028" s="6">
        <v>181105.8823529412</v>
      </c>
      <c r="G1028" s="6">
        <v>3078800</v>
      </c>
      <c r="H1028" s="6">
        <v>448800</v>
      </c>
      <c r="I1028" s="6">
        <f t="shared" si="16"/>
        <v>243</v>
      </c>
      <c r="J1028" t="str" cm="1">
        <f t="array" ref="J1028">_xlfn.IFS(
AND(I1028&gt;=89,I1028&lt;=92),"D-90",
AND(I1028&gt;=58,I1028&lt;=62),"D-60",
AND(I1028&gt;=28,I1028&lt;=32),"D-30",
AND(I1028=0),"당월",
TRUE,"그외")</f>
        <v>그외</v>
      </c>
    </row>
    <row r="1029" spans="1:10" ht="17.649999999999999" customHeight="1" x14ac:dyDescent="0.3">
      <c r="A1029" s="4">
        <v>46174</v>
      </c>
      <c r="B1029" s="5" t="s">
        <v>8</v>
      </c>
      <c r="C1029" s="4">
        <v>45962</v>
      </c>
      <c r="D1029" s="5" t="s">
        <v>10</v>
      </c>
      <c r="E1029" s="6">
        <v>49</v>
      </c>
      <c r="F1029" s="6">
        <v>168462.8979591837</v>
      </c>
      <c r="G1029" s="6">
        <v>8254682</v>
      </c>
      <c r="H1029" s="6">
        <v>1308300</v>
      </c>
      <c r="I1029" s="6">
        <f t="shared" si="16"/>
        <v>212</v>
      </c>
      <c r="J1029" t="str" cm="1">
        <f t="array" ref="J1029">_xlfn.IFS(
AND(I1029&gt;=89,I1029&lt;=92),"D-90",
AND(I1029&gt;=58,I1029&lt;=62),"D-60",
AND(I1029&gt;=28,I1029&lt;=32),"D-30",
AND(I1029=0),"당월",
TRUE,"그외")</f>
        <v>그외</v>
      </c>
    </row>
    <row r="1030" spans="1:10" ht="17.649999999999999" customHeight="1" x14ac:dyDescent="0.3">
      <c r="A1030" s="4">
        <v>46174</v>
      </c>
      <c r="B1030" s="5" t="s">
        <v>8</v>
      </c>
      <c r="C1030" s="4">
        <v>45992</v>
      </c>
      <c r="D1030" s="5" t="s">
        <v>10</v>
      </c>
      <c r="E1030" s="6">
        <v>217</v>
      </c>
      <c r="F1030" s="6">
        <v>160469.03225806449</v>
      </c>
      <c r="G1030" s="6">
        <v>34821780</v>
      </c>
      <c r="H1030" s="6">
        <v>6878900</v>
      </c>
      <c r="I1030" s="6">
        <f t="shared" si="16"/>
        <v>182</v>
      </c>
      <c r="J1030" t="str" cm="1">
        <f t="array" ref="J1030">_xlfn.IFS(
AND(I1030&gt;=89,I1030&lt;=92),"D-90",
AND(I1030&gt;=58,I1030&lt;=62),"D-60",
AND(I1030&gt;=28,I1030&lt;=32),"D-30",
AND(I1030=0),"당월",
TRUE,"그외")</f>
        <v>그외</v>
      </c>
    </row>
    <row r="1031" spans="1:10" ht="17.649999999999999" customHeight="1" x14ac:dyDescent="0.3">
      <c r="A1031" s="4">
        <v>46174</v>
      </c>
      <c r="B1031" s="5" t="s">
        <v>8</v>
      </c>
      <c r="C1031" s="4">
        <v>46023</v>
      </c>
      <c r="D1031" s="5" t="s">
        <v>10</v>
      </c>
      <c r="E1031" s="6">
        <v>266</v>
      </c>
      <c r="F1031" s="6">
        <v>187374.80075187969</v>
      </c>
      <c r="G1031" s="6">
        <v>49841697</v>
      </c>
      <c r="H1031" s="6">
        <v>8680345</v>
      </c>
      <c r="I1031" s="6">
        <f t="shared" si="16"/>
        <v>151</v>
      </c>
      <c r="J1031" t="str" cm="1">
        <f t="array" ref="J1031">_xlfn.IFS(
AND(I1031&gt;=89,I1031&lt;=92),"D-90",
AND(I1031&gt;=58,I1031&lt;=62),"D-60",
AND(I1031&gt;=28,I1031&lt;=32),"D-30",
AND(I1031=0),"당월",
TRUE,"그외")</f>
        <v>그외</v>
      </c>
    </row>
    <row r="1032" spans="1:10" ht="17.649999999999999" customHeight="1" x14ac:dyDescent="0.3">
      <c r="A1032" s="4">
        <v>46174</v>
      </c>
      <c r="B1032" s="5" t="s">
        <v>8</v>
      </c>
      <c r="C1032" s="4">
        <v>46054</v>
      </c>
      <c r="D1032" s="5" t="s">
        <v>9</v>
      </c>
      <c r="E1032" s="6">
        <v>156</v>
      </c>
      <c r="F1032" s="6">
        <v>155564.10256410259</v>
      </c>
      <c r="G1032" s="6">
        <v>24268000</v>
      </c>
      <c r="H1032" s="6">
        <v>3432000</v>
      </c>
      <c r="I1032" s="6">
        <f t="shared" si="16"/>
        <v>120</v>
      </c>
      <c r="J1032" t="str" cm="1">
        <f t="array" ref="J1032">_xlfn.IFS(
AND(I1032&gt;=89,I1032&lt;=92),"D-90",
AND(I1032&gt;=58,I1032&lt;=62),"D-60",
AND(I1032&gt;=28,I1032&lt;=32),"D-30",
AND(I1032=0),"당월",
TRUE,"그외")</f>
        <v>그외</v>
      </c>
    </row>
    <row r="1033" spans="1:10" ht="17.649999999999999" customHeight="1" x14ac:dyDescent="0.3">
      <c r="A1033" s="4">
        <v>46174</v>
      </c>
      <c r="B1033" s="5" t="s">
        <v>8</v>
      </c>
      <c r="C1033" s="4">
        <v>46054</v>
      </c>
      <c r="D1033" s="5" t="s">
        <v>10</v>
      </c>
      <c r="E1033" s="6">
        <v>507</v>
      </c>
      <c r="F1033" s="6">
        <v>173181.2287968442</v>
      </c>
      <c r="G1033" s="6">
        <v>87802883</v>
      </c>
      <c r="H1033" s="6">
        <v>11686456</v>
      </c>
      <c r="I1033" s="6">
        <f t="shared" si="16"/>
        <v>120</v>
      </c>
      <c r="J1033" t="str" cm="1">
        <f t="array" ref="J1033">_xlfn.IFS(
AND(I1033&gt;=89,I1033&lt;=92),"D-90",
AND(I1033&gt;=58,I1033&lt;=62),"D-60",
AND(I1033&gt;=28,I1033&lt;=32),"D-30",
AND(I1033=0),"당월",
TRUE,"그외")</f>
        <v>그외</v>
      </c>
    </row>
    <row r="1034" spans="1:10" ht="17.649999999999999" customHeight="1" x14ac:dyDescent="0.3">
      <c r="A1034" s="4">
        <v>46174</v>
      </c>
      <c r="B1034" s="5" t="s">
        <v>8</v>
      </c>
      <c r="C1034" s="4">
        <v>46082</v>
      </c>
      <c r="D1034" s="5" t="s">
        <v>9</v>
      </c>
      <c r="E1034" s="6">
        <v>1075</v>
      </c>
      <c r="F1034" s="6">
        <v>134014.4186046512</v>
      </c>
      <c r="G1034" s="6">
        <v>144065500</v>
      </c>
      <c r="H1034" s="6">
        <v>29992500</v>
      </c>
      <c r="I1034" s="6">
        <f t="shared" si="16"/>
        <v>92</v>
      </c>
      <c r="J1034" t="str" cm="1">
        <f t="array" ref="J1034">_xlfn.IFS(
AND(I1034&gt;=89,I1034&lt;=92),"D-90",
AND(I1034&gt;=58,I1034&lt;=62),"D-60",
AND(I1034&gt;=28,I1034&lt;=32),"D-30",
AND(I1034=0),"당월",
TRUE,"그외")</f>
        <v>D-90</v>
      </c>
    </row>
    <row r="1035" spans="1:10" ht="17.649999999999999" customHeight="1" x14ac:dyDescent="0.3">
      <c r="A1035" s="4">
        <v>46174</v>
      </c>
      <c r="B1035" s="5" t="s">
        <v>8</v>
      </c>
      <c r="C1035" s="4">
        <v>46082</v>
      </c>
      <c r="D1035" s="5" t="s">
        <v>10</v>
      </c>
      <c r="E1035" s="6">
        <v>2350</v>
      </c>
      <c r="F1035" s="6">
        <v>171691.87617021281</v>
      </c>
      <c r="G1035" s="6">
        <v>403475909</v>
      </c>
      <c r="H1035" s="6">
        <v>66011310</v>
      </c>
      <c r="I1035" s="6">
        <f t="shared" si="16"/>
        <v>92</v>
      </c>
      <c r="J1035" t="str" cm="1">
        <f t="array" ref="J1035">_xlfn.IFS(
AND(I1035&gt;=89,I1035&lt;=92),"D-90",
AND(I1035&gt;=58,I1035&lt;=62),"D-60",
AND(I1035&gt;=28,I1035&lt;=32),"D-30",
AND(I1035=0),"당월",
TRUE,"그외")</f>
        <v>D-90</v>
      </c>
    </row>
    <row r="1036" spans="1:10" ht="17.649999999999999" customHeight="1" x14ac:dyDescent="0.3">
      <c r="A1036" s="4">
        <v>46174</v>
      </c>
      <c r="B1036" s="5" t="s">
        <v>8</v>
      </c>
      <c r="C1036" s="4">
        <v>46113</v>
      </c>
      <c r="D1036" s="5" t="s">
        <v>9</v>
      </c>
      <c r="E1036" s="6">
        <v>831</v>
      </c>
      <c r="F1036" s="6">
        <v>170533.93501805051</v>
      </c>
      <c r="G1036" s="6">
        <v>141713700</v>
      </c>
      <c r="H1036" s="6">
        <v>56438700</v>
      </c>
      <c r="I1036" s="6">
        <f t="shared" si="16"/>
        <v>61</v>
      </c>
      <c r="J1036" t="str" cm="1">
        <f t="array" ref="J1036">_xlfn.IFS(
AND(I1036&gt;=89,I1036&lt;=92),"D-90",
AND(I1036&gt;=58,I1036&lt;=62),"D-60",
AND(I1036&gt;=28,I1036&lt;=32),"D-30",
AND(I1036=0),"당월",
TRUE,"그외")</f>
        <v>D-60</v>
      </c>
    </row>
    <row r="1037" spans="1:10" ht="17.649999999999999" customHeight="1" x14ac:dyDescent="0.3">
      <c r="A1037" s="4">
        <v>46174</v>
      </c>
      <c r="B1037" s="5" t="s">
        <v>8</v>
      </c>
      <c r="C1037" s="4">
        <v>46113</v>
      </c>
      <c r="D1037" s="5" t="s">
        <v>10</v>
      </c>
      <c r="E1037" s="6">
        <v>1760</v>
      </c>
      <c r="F1037" s="6">
        <v>172984.50170454549</v>
      </c>
      <c r="G1037" s="6">
        <v>304452723</v>
      </c>
      <c r="H1037" s="6">
        <v>81708903</v>
      </c>
      <c r="I1037" s="6">
        <f t="shared" si="16"/>
        <v>61</v>
      </c>
      <c r="J1037" t="str" cm="1">
        <f t="array" ref="J1037">_xlfn.IFS(
AND(I1037&gt;=89,I1037&lt;=92),"D-90",
AND(I1037&gt;=58,I1037&lt;=62),"D-60",
AND(I1037&gt;=28,I1037&lt;=32),"D-30",
AND(I1037=0),"당월",
TRUE,"그외")</f>
        <v>D-60</v>
      </c>
    </row>
    <row r="1038" spans="1:10" ht="17.649999999999999" customHeight="1" x14ac:dyDescent="0.3">
      <c r="A1038" s="4">
        <v>46174</v>
      </c>
      <c r="B1038" s="5" t="s">
        <v>8</v>
      </c>
      <c r="C1038" s="4">
        <v>46143</v>
      </c>
      <c r="D1038" s="5" t="s">
        <v>9</v>
      </c>
      <c r="E1038" s="6">
        <v>229</v>
      </c>
      <c r="F1038" s="6">
        <v>228217.70742358081</v>
      </c>
      <c r="G1038" s="6">
        <v>52261855</v>
      </c>
      <c r="H1038" s="6">
        <v>31625400</v>
      </c>
      <c r="I1038" s="6">
        <f t="shared" si="16"/>
        <v>31</v>
      </c>
      <c r="J1038" t="str" cm="1">
        <f t="array" ref="J1038">_xlfn.IFS(
AND(I1038&gt;=89,I1038&lt;=92),"D-90",
AND(I1038&gt;=58,I1038&lt;=62),"D-60",
AND(I1038&gt;=28,I1038&lt;=32),"D-30",
AND(I1038=0),"당월",
TRUE,"그외")</f>
        <v>D-30</v>
      </c>
    </row>
    <row r="1039" spans="1:10" ht="17.649999999999999" customHeight="1" x14ac:dyDescent="0.3">
      <c r="A1039" s="4">
        <v>46174</v>
      </c>
      <c r="B1039" s="5" t="s">
        <v>8</v>
      </c>
      <c r="C1039" s="4">
        <v>46143</v>
      </c>
      <c r="D1039" s="5" t="s">
        <v>10</v>
      </c>
      <c r="E1039" s="6">
        <v>1529</v>
      </c>
      <c r="F1039" s="6">
        <v>184992.7240026161</v>
      </c>
      <c r="G1039" s="6">
        <v>282853875</v>
      </c>
      <c r="H1039" s="6">
        <v>183653839</v>
      </c>
      <c r="I1039" s="6">
        <f t="shared" si="16"/>
        <v>31</v>
      </c>
      <c r="J1039" t="str" cm="1">
        <f t="array" ref="J1039">_xlfn.IFS(
AND(I1039&gt;=89,I1039&lt;=92),"D-90",
AND(I1039&gt;=58,I1039&lt;=62),"D-60",
AND(I1039&gt;=28,I1039&lt;=32),"D-30",
AND(I1039=0),"당월",
TRUE,"그외")</f>
        <v>D-30</v>
      </c>
    </row>
    <row r="1040" spans="1:10" ht="17.649999999999999" customHeight="1" x14ac:dyDescent="0.3">
      <c r="A1040" s="4">
        <v>46174</v>
      </c>
      <c r="B1040" s="5" t="s">
        <v>8</v>
      </c>
      <c r="C1040" s="4">
        <v>46174</v>
      </c>
      <c r="D1040" s="5" t="s">
        <v>9</v>
      </c>
      <c r="E1040" s="6">
        <v>225</v>
      </c>
      <c r="F1040" s="6">
        <v>191668</v>
      </c>
      <c r="G1040" s="6">
        <v>43125300</v>
      </c>
      <c r="H1040" s="6">
        <v>27744300</v>
      </c>
      <c r="I1040" s="6">
        <f t="shared" si="16"/>
        <v>0</v>
      </c>
      <c r="J1040" t="str" cm="1">
        <f t="array" ref="J1040">_xlfn.IFS(
AND(I1040&gt;=89,I1040&lt;=92),"D-90",
AND(I1040&gt;=58,I1040&lt;=62),"D-60",
AND(I1040&gt;=28,I1040&lt;=32),"D-30",
AND(I1040=0),"당월",
TRUE,"그외")</f>
        <v>당월</v>
      </c>
    </row>
    <row r="1041" spans="1:10" ht="17.649999999999999" customHeight="1" x14ac:dyDescent="0.3">
      <c r="A1041" s="4">
        <v>46174</v>
      </c>
      <c r="B1041" s="5" t="s">
        <v>8</v>
      </c>
      <c r="C1041" s="4">
        <v>46174</v>
      </c>
      <c r="D1041" s="5" t="s">
        <v>10</v>
      </c>
      <c r="E1041" s="6">
        <v>1530</v>
      </c>
      <c r="F1041" s="6">
        <v>203230.0267973856</v>
      </c>
      <c r="G1041" s="6">
        <v>310941941</v>
      </c>
      <c r="H1041" s="6">
        <v>176083837</v>
      </c>
      <c r="I1041" s="6">
        <f t="shared" si="16"/>
        <v>0</v>
      </c>
      <c r="J1041" t="str" cm="1">
        <f t="array" ref="J1041">_xlfn.IFS(
AND(I1041&gt;=89,I1041&lt;=92),"D-90",
AND(I1041&gt;=58,I1041&lt;=62),"D-60",
AND(I1041&gt;=28,I1041&lt;=32),"D-30",
AND(I1041=0),"당월",
TRUE,"그외")</f>
        <v>당월</v>
      </c>
    </row>
    <row r="1042" spans="1:10" ht="17.649999999999999" customHeight="1" x14ac:dyDescent="0.3">
      <c r="A1042" s="4">
        <v>46174</v>
      </c>
      <c r="B1042" s="5" t="s">
        <v>8</v>
      </c>
      <c r="C1042" s="4">
        <v>46204</v>
      </c>
      <c r="D1042" s="5" t="s">
        <v>10</v>
      </c>
      <c r="E1042" s="6">
        <v>1</v>
      </c>
      <c r="F1042" s="6">
        <v>509586</v>
      </c>
      <c r="G1042" s="6">
        <v>509586</v>
      </c>
      <c r="H1042" s="6">
        <v>92652</v>
      </c>
      <c r="I1042" s="6">
        <f t="shared" si="16"/>
        <v>-30</v>
      </c>
      <c r="J1042" t="str" cm="1">
        <f t="array" ref="J1042">_xlfn.IFS(
AND(I1042&gt;=89,I1042&lt;=92),"D-90",
AND(I1042&gt;=58,I1042&lt;=62),"D-60",
AND(I1042&gt;=28,I1042&lt;=32),"D-30",
AND(I1042=0),"당월",
TRUE,"그외")</f>
        <v>그외</v>
      </c>
    </row>
    <row r="1043" spans="1:10" ht="17.649999999999999" customHeight="1" x14ac:dyDescent="0.3">
      <c r="A1043" s="4">
        <v>46174</v>
      </c>
      <c r="B1043" s="5" t="s">
        <v>13</v>
      </c>
      <c r="C1043" s="4">
        <v>46082</v>
      </c>
      <c r="D1043" s="5" t="s">
        <v>9</v>
      </c>
      <c r="E1043" s="6">
        <v>43</v>
      </c>
      <c r="F1043" s="6">
        <v>128039.5348837209</v>
      </c>
      <c r="G1043" s="6">
        <v>5505700</v>
      </c>
      <c r="H1043" s="6">
        <v>1199700</v>
      </c>
      <c r="I1043" s="6">
        <f t="shared" si="16"/>
        <v>92</v>
      </c>
      <c r="J1043" t="str" cm="1">
        <f t="array" ref="J1043">_xlfn.IFS(
AND(I1043&gt;=89,I1043&lt;=92),"D-90",
AND(I1043&gt;=58,I1043&lt;=62),"D-60",
AND(I1043&gt;=28,I1043&lt;=32),"D-30",
AND(I1043=0),"당월",
TRUE,"그외")</f>
        <v>D-90</v>
      </c>
    </row>
    <row r="1044" spans="1:10" ht="17.649999999999999" customHeight="1" x14ac:dyDescent="0.3">
      <c r="A1044" s="4">
        <v>46174</v>
      </c>
      <c r="B1044" s="5" t="s">
        <v>13</v>
      </c>
      <c r="C1044" s="4">
        <v>46082</v>
      </c>
      <c r="D1044" s="5" t="s">
        <v>10</v>
      </c>
      <c r="E1044" s="6">
        <v>32</v>
      </c>
      <c r="F1044" s="6">
        <v>156072.65625</v>
      </c>
      <c r="G1044" s="6">
        <v>4994325</v>
      </c>
      <c r="H1044" s="6">
        <v>943155</v>
      </c>
      <c r="I1044" s="6">
        <f t="shared" si="16"/>
        <v>92</v>
      </c>
      <c r="J1044" t="str" cm="1">
        <f t="array" ref="J1044">_xlfn.IFS(
AND(I1044&gt;=89,I1044&lt;=92),"D-90",
AND(I1044&gt;=58,I1044&lt;=62),"D-60",
AND(I1044&gt;=28,I1044&lt;=32),"D-30",
AND(I1044=0),"당월",
TRUE,"그외")</f>
        <v>D-90</v>
      </c>
    </row>
    <row r="1045" spans="1:10" ht="17.649999999999999" customHeight="1" x14ac:dyDescent="0.3">
      <c r="A1045" s="4">
        <v>46174</v>
      </c>
      <c r="B1045" s="5" t="s">
        <v>13</v>
      </c>
      <c r="C1045" s="4">
        <v>46113</v>
      </c>
      <c r="D1045" s="5" t="s">
        <v>9</v>
      </c>
      <c r="E1045" s="6">
        <v>2</v>
      </c>
      <c r="F1045" s="6">
        <v>177900</v>
      </c>
      <c r="G1045" s="6">
        <v>355800</v>
      </c>
      <c r="H1045" s="6">
        <v>175800</v>
      </c>
      <c r="I1045" s="6">
        <f t="shared" si="16"/>
        <v>61</v>
      </c>
      <c r="J1045" t="str" cm="1">
        <f t="array" ref="J1045">_xlfn.IFS(
AND(I1045&gt;=89,I1045&lt;=92),"D-90",
AND(I1045&gt;=58,I1045&lt;=62),"D-60",
AND(I1045&gt;=28,I1045&lt;=32),"D-30",
AND(I1045=0),"당월",
TRUE,"그외")</f>
        <v>D-60</v>
      </c>
    </row>
    <row r="1046" spans="1:10" ht="17.649999999999999" customHeight="1" x14ac:dyDescent="0.3">
      <c r="A1046" s="4">
        <v>46174</v>
      </c>
      <c r="B1046" s="5" t="s">
        <v>13</v>
      </c>
      <c r="C1046" s="4">
        <v>46113</v>
      </c>
      <c r="D1046" s="5" t="s">
        <v>10</v>
      </c>
      <c r="E1046" s="6">
        <v>50</v>
      </c>
      <c r="F1046" s="6">
        <v>197223.2</v>
      </c>
      <c r="G1046" s="6">
        <v>9861160</v>
      </c>
      <c r="H1046" s="6">
        <v>3155700</v>
      </c>
      <c r="I1046" s="6">
        <f t="shared" si="16"/>
        <v>61</v>
      </c>
      <c r="J1046" t="str" cm="1">
        <f t="array" ref="J1046">_xlfn.IFS(
AND(I1046&gt;=89,I1046&lt;=92),"D-90",
AND(I1046&gt;=58,I1046&lt;=62),"D-60",
AND(I1046&gt;=28,I1046&lt;=32),"D-30",
AND(I1046=0),"당월",
TRUE,"그외")</f>
        <v>D-60</v>
      </c>
    </row>
    <row r="1047" spans="1:10" ht="17.649999999999999" customHeight="1" x14ac:dyDescent="0.3">
      <c r="A1047" s="4">
        <v>46174</v>
      </c>
      <c r="B1047" s="5" t="s">
        <v>13</v>
      </c>
      <c r="C1047" s="4">
        <v>46143</v>
      </c>
      <c r="D1047" s="5" t="s">
        <v>10</v>
      </c>
      <c r="E1047" s="6">
        <v>29</v>
      </c>
      <c r="F1047" s="6">
        <v>208587.55172413791</v>
      </c>
      <c r="G1047" s="6">
        <v>6049039</v>
      </c>
      <c r="H1047" s="6">
        <v>3028809</v>
      </c>
      <c r="I1047" s="6">
        <f t="shared" si="16"/>
        <v>31</v>
      </c>
      <c r="J1047" t="str" cm="1">
        <f t="array" ref="J1047">_xlfn.IFS(
AND(I1047&gt;=89,I1047&lt;=92),"D-90",
AND(I1047&gt;=58,I1047&lt;=62),"D-60",
AND(I1047&gt;=28,I1047&lt;=32),"D-30",
AND(I1047=0),"당월",
TRUE,"그외")</f>
        <v>D-30</v>
      </c>
    </row>
    <row r="1048" spans="1:10" ht="17.649999999999999" customHeight="1" x14ac:dyDescent="0.3">
      <c r="A1048" s="4">
        <v>46204</v>
      </c>
      <c r="B1048" s="5" t="s">
        <v>8</v>
      </c>
      <c r="C1048" s="4">
        <v>45931</v>
      </c>
      <c r="D1048" s="5" t="s">
        <v>10</v>
      </c>
      <c r="E1048" s="6">
        <v>114</v>
      </c>
      <c r="F1048" s="6">
        <v>230785.9649122807</v>
      </c>
      <c r="G1048" s="6">
        <v>26309600</v>
      </c>
      <c r="H1048" s="6">
        <v>3009600</v>
      </c>
      <c r="I1048" s="6">
        <f t="shared" si="16"/>
        <v>273</v>
      </c>
      <c r="J1048" t="str" cm="1">
        <f t="array" ref="J1048">_xlfn.IFS(
AND(I1048&gt;=89,I1048&lt;=92),"D-90",
AND(I1048&gt;=58,I1048&lt;=62),"D-60",
AND(I1048&gt;=28,I1048&lt;=32),"D-30",
AND(I1048=0),"당월",
TRUE,"그외")</f>
        <v>그외</v>
      </c>
    </row>
    <row r="1049" spans="1:10" ht="17.649999999999999" customHeight="1" x14ac:dyDescent="0.3">
      <c r="A1049" s="4">
        <v>46204</v>
      </c>
      <c r="B1049" s="5" t="s">
        <v>8</v>
      </c>
      <c r="C1049" s="4">
        <v>45962</v>
      </c>
      <c r="D1049" s="5" t="s">
        <v>10</v>
      </c>
      <c r="E1049" s="6">
        <v>73</v>
      </c>
      <c r="F1049" s="6">
        <v>217658.904109589</v>
      </c>
      <c r="G1049" s="6">
        <v>15889100</v>
      </c>
      <c r="H1049" s="6">
        <v>1949100</v>
      </c>
      <c r="I1049" s="6">
        <f t="shared" si="16"/>
        <v>242</v>
      </c>
      <c r="J1049" t="str" cm="1">
        <f t="array" ref="J1049">_xlfn.IFS(
AND(I1049&gt;=89,I1049&lt;=92),"D-90",
AND(I1049&gt;=58,I1049&lt;=62),"D-60",
AND(I1049&gt;=28,I1049&lt;=32),"D-30",
AND(I1049=0),"당월",
TRUE,"그외")</f>
        <v>그외</v>
      </c>
    </row>
    <row r="1050" spans="1:10" ht="17.649999999999999" customHeight="1" x14ac:dyDescent="0.3">
      <c r="A1050" s="4">
        <v>46204</v>
      </c>
      <c r="B1050" s="5" t="s">
        <v>8</v>
      </c>
      <c r="C1050" s="4">
        <v>45992</v>
      </c>
      <c r="D1050" s="5" t="s">
        <v>10</v>
      </c>
      <c r="E1050" s="6">
        <v>148</v>
      </c>
      <c r="F1050" s="6">
        <v>215696.7905405405</v>
      </c>
      <c r="G1050" s="6">
        <v>31923125</v>
      </c>
      <c r="H1050" s="6">
        <v>4752985</v>
      </c>
      <c r="I1050" s="6">
        <f t="shared" si="16"/>
        <v>212</v>
      </c>
      <c r="J1050" t="str" cm="1">
        <f t="array" ref="J1050">_xlfn.IFS(
AND(I1050&gt;=89,I1050&lt;=92),"D-90",
AND(I1050&gt;=58,I1050&lt;=62),"D-60",
AND(I1050&gt;=28,I1050&lt;=32),"D-30",
AND(I1050=0),"당월",
TRUE,"그외")</f>
        <v>그외</v>
      </c>
    </row>
    <row r="1051" spans="1:10" ht="17.649999999999999" customHeight="1" x14ac:dyDescent="0.3">
      <c r="A1051" s="4">
        <v>46204</v>
      </c>
      <c r="B1051" s="5" t="s">
        <v>8</v>
      </c>
      <c r="C1051" s="4">
        <v>46023</v>
      </c>
      <c r="D1051" s="5" t="s">
        <v>10</v>
      </c>
      <c r="E1051" s="6">
        <v>344</v>
      </c>
      <c r="F1051" s="6">
        <v>204052.68023255811</v>
      </c>
      <c r="G1051" s="6">
        <v>70194122</v>
      </c>
      <c r="H1051" s="6">
        <v>11159605</v>
      </c>
      <c r="I1051" s="6">
        <f t="shared" si="16"/>
        <v>181</v>
      </c>
      <c r="J1051" t="str" cm="1">
        <f t="array" ref="J1051">_xlfn.IFS(
AND(I1051&gt;=89,I1051&lt;=92),"D-90",
AND(I1051&gt;=58,I1051&lt;=62),"D-60",
AND(I1051&gt;=28,I1051&lt;=32),"D-30",
AND(I1051=0),"당월",
TRUE,"그외")</f>
        <v>그외</v>
      </c>
    </row>
    <row r="1052" spans="1:10" ht="17.649999999999999" customHeight="1" x14ac:dyDescent="0.3">
      <c r="A1052" s="4">
        <v>46204</v>
      </c>
      <c r="B1052" s="5" t="s">
        <v>8</v>
      </c>
      <c r="C1052" s="4">
        <v>46054</v>
      </c>
      <c r="D1052" s="5" t="s">
        <v>9</v>
      </c>
      <c r="E1052" s="6">
        <v>16</v>
      </c>
      <c r="F1052" s="6">
        <v>134500</v>
      </c>
      <c r="G1052" s="6">
        <v>2152000</v>
      </c>
      <c r="H1052" s="6">
        <v>352000</v>
      </c>
      <c r="I1052" s="6">
        <f t="shared" si="16"/>
        <v>150</v>
      </c>
      <c r="J1052" t="str" cm="1">
        <f t="array" ref="J1052">_xlfn.IFS(
AND(I1052&gt;=89,I1052&lt;=92),"D-90",
AND(I1052&gt;=58,I1052&lt;=62),"D-60",
AND(I1052&gt;=28,I1052&lt;=32),"D-30",
AND(I1052=0),"당월",
TRUE,"그외")</f>
        <v>그외</v>
      </c>
    </row>
    <row r="1053" spans="1:10" ht="17.649999999999999" customHeight="1" x14ac:dyDescent="0.3">
      <c r="A1053" s="4">
        <v>46204</v>
      </c>
      <c r="B1053" s="5" t="s">
        <v>8</v>
      </c>
      <c r="C1053" s="4">
        <v>46054</v>
      </c>
      <c r="D1053" s="5" t="s">
        <v>10</v>
      </c>
      <c r="E1053" s="6">
        <v>646</v>
      </c>
      <c r="F1053" s="6">
        <v>205962.46594427241</v>
      </c>
      <c r="G1053" s="6">
        <v>133051753</v>
      </c>
      <c r="H1053" s="6">
        <v>14339801</v>
      </c>
      <c r="I1053" s="6">
        <f t="shared" si="16"/>
        <v>150</v>
      </c>
      <c r="J1053" t="str" cm="1">
        <f t="array" ref="J1053">_xlfn.IFS(
AND(I1053&gt;=89,I1053&lt;=92),"D-90",
AND(I1053&gt;=58,I1053&lt;=62),"D-60",
AND(I1053&gt;=28,I1053&lt;=32),"D-30",
AND(I1053=0),"당월",
TRUE,"그외")</f>
        <v>그외</v>
      </c>
    </row>
    <row r="1054" spans="1:10" ht="17.649999999999999" customHeight="1" x14ac:dyDescent="0.3">
      <c r="A1054" s="4">
        <v>46204</v>
      </c>
      <c r="B1054" s="5" t="s">
        <v>8</v>
      </c>
      <c r="C1054" s="4">
        <v>46082</v>
      </c>
      <c r="D1054" s="5" t="s">
        <v>9</v>
      </c>
      <c r="E1054" s="6">
        <v>597</v>
      </c>
      <c r="F1054" s="6">
        <v>152201.50753768839</v>
      </c>
      <c r="G1054" s="6">
        <v>90864300</v>
      </c>
      <c r="H1054" s="6">
        <v>16656300</v>
      </c>
      <c r="I1054" s="6">
        <f t="shared" si="16"/>
        <v>122</v>
      </c>
      <c r="J1054" t="str" cm="1">
        <f t="array" ref="J1054">_xlfn.IFS(
AND(I1054&gt;=89,I1054&lt;=92),"D-90",
AND(I1054&gt;=58,I1054&lt;=62),"D-60",
AND(I1054&gt;=28,I1054&lt;=32),"D-30",
AND(I1054=0),"당월",
TRUE,"그외")</f>
        <v>그외</v>
      </c>
    </row>
    <row r="1055" spans="1:10" ht="17.649999999999999" customHeight="1" x14ac:dyDescent="0.3">
      <c r="A1055" s="4">
        <v>46204</v>
      </c>
      <c r="B1055" s="5" t="s">
        <v>8</v>
      </c>
      <c r="C1055" s="4">
        <v>46082</v>
      </c>
      <c r="D1055" s="5" t="s">
        <v>10</v>
      </c>
      <c r="E1055" s="6">
        <v>2049</v>
      </c>
      <c r="F1055" s="6">
        <v>227066.2532942899</v>
      </c>
      <c r="G1055" s="6">
        <v>465258753</v>
      </c>
      <c r="H1055" s="6">
        <v>57522391</v>
      </c>
      <c r="I1055" s="6">
        <f t="shared" si="16"/>
        <v>122</v>
      </c>
      <c r="J1055" t="str" cm="1">
        <f t="array" ref="J1055">_xlfn.IFS(
AND(I1055&gt;=89,I1055&lt;=92),"D-90",
AND(I1055&gt;=58,I1055&lt;=62),"D-60",
AND(I1055&gt;=28,I1055&lt;=32),"D-30",
AND(I1055=0),"당월",
TRUE,"그외")</f>
        <v>그외</v>
      </c>
    </row>
    <row r="1056" spans="1:10" ht="17.649999999999999" customHeight="1" x14ac:dyDescent="0.3">
      <c r="A1056" s="4">
        <v>46204</v>
      </c>
      <c r="B1056" s="5" t="s">
        <v>8</v>
      </c>
      <c r="C1056" s="4">
        <v>46113</v>
      </c>
      <c r="D1056" s="5" t="s">
        <v>9</v>
      </c>
      <c r="E1056" s="6">
        <v>666</v>
      </c>
      <c r="F1056" s="6">
        <v>197488.58858858861</v>
      </c>
      <c r="G1056" s="6">
        <v>131527400</v>
      </c>
      <c r="H1056" s="6">
        <v>48241400</v>
      </c>
      <c r="I1056" s="6">
        <f t="shared" si="16"/>
        <v>91</v>
      </c>
      <c r="J1056" t="str" cm="1">
        <f t="array" ref="J1056">_xlfn.IFS(
AND(I1056&gt;=89,I1056&lt;=92),"D-90",
AND(I1056&gt;=58,I1056&lt;=62),"D-60",
AND(I1056&gt;=28,I1056&lt;=32),"D-30",
AND(I1056=0),"당월",
TRUE,"그외")</f>
        <v>D-90</v>
      </c>
    </row>
    <row r="1057" spans="1:10" ht="17.649999999999999" customHeight="1" x14ac:dyDescent="0.3">
      <c r="A1057" s="4">
        <v>46204</v>
      </c>
      <c r="B1057" s="5" t="s">
        <v>8</v>
      </c>
      <c r="C1057" s="4">
        <v>46113</v>
      </c>
      <c r="D1057" s="5" t="s">
        <v>10</v>
      </c>
      <c r="E1057" s="6">
        <v>950</v>
      </c>
      <c r="F1057" s="6">
        <v>188667.39789473679</v>
      </c>
      <c r="G1057" s="6">
        <v>179234028</v>
      </c>
      <c r="H1057" s="6">
        <v>44674961</v>
      </c>
      <c r="I1057" s="6">
        <f t="shared" si="16"/>
        <v>91</v>
      </c>
      <c r="J1057" t="str" cm="1">
        <f t="array" ref="J1057">_xlfn.IFS(
AND(I1057&gt;=89,I1057&lt;=92),"D-90",
AND(I1057&gt;=58,I1057&lt;=62),"D-60",
AND(I1057&gt;=28,I1057&lt;=32),"D-30",
AND(I1057=0),"당월",
TRUE,"그외")</f>
        <v>D-90</v>
      </c>
    </row>
    <row r="1058" spans="1:10" ht="17.649999999999999" customHeight="1" x14ac:dyDescent="0.3">
      <c r="A1058" s="4">
        <v>46204</v>
      </c>
      <c r="B1058" s="5" t="s">
        <v>8</v>
      </c>
      <c r="C1058" s="4">
        <v>46143</v>
      </c>
      <c r="D1058" s="5" t="s">
        <v>9</v>
      </c>
      <c r="E1058" s="6">
        <v>18</v>
      </c>
      <c r="F1058" s="6">
        <v>286422.22222222219</v>
      </c>
      <c r="G1058" s="6">
        <v>5155600</v>
      </c>
      <c r="H1058" s="6">
        <v>3027600</v>
      </c>
      <c r="I1058" s="6">
        <f t="shared" si="16"/>
        <v>61</v>
      </c>
      <c r="J1058" t="str" cm="1">
        <f t="array" ref="J1058">_xlfn.IFS(
AND(I1058&gt;=89,I1058&lt;=92),"D-90",
AND(I1058&gt;=58,I1058&lt;=62),"D-60",
AND(I1058&gt;=28,I1058&lt;=32),"D-30",
AND(I1058=0),"당월",
TRUE,"그외")</f>
        <v>D-60</v>
      </c>
    </row>
    <row r="1059" spans="1:10" ht="17.649999999999999" customHeight="1" x14ac:dyDescent="0.3">
      <c r="A1059" s="4">
        <v>46204</v>
      </c>
      <c r="B1059" s="5" t="s">
        <v>8</v>
      </c>
      <c r="C1059" s="4">
        <v>46143</v>
      </c>
      <c r="D1059" s="5" t="s">
        <v>10</v>
      </c>
      <c r="E1059" s="6">
        <v>921</v>
      </c>
      <c r="F1059" s="6">
        <v>214725.83061889251</v>
      </c>
      <c r="G1059" s="6">
        <v>197762490</v>
      </c>
      <c r="H1059" s="6">
        <v>115410877</v>
      </c>
      <c r="I1059" s="6">
        <f t="shared" si="16"/>
        <v>61</v>
      </c>
      <c r="J1059" t="str" cm="1">
        <f t="array" ref="J1059">_xlfn.IFS(
AND(I1059&gt;=89,I1059&lt;=92),"D-90",
AND(I1059&gt;=58,I1059&lt;=62),"D-60",
AND(I1059&gt;=28,I1059&lt;=32),"D-30",
AND(I1059=0),"당월",
TRUE,"그외")</f>
        <v>D-60</v>
      </c>
    </row>
    <row r="1060" spans="1:10" ht="17.649999999999999" customHeight="1" x14ac:dyDescent="0.3">
      <c r="A1060" s="4">
        <v>46204</v>
      </c>
      <c r="B1060" s="5" t="s">
        <v>8</v>
      </c>
      <c r="C1060" s="4">
        <v>46174</v>
      </c>
      <c r="D1060" s="5" t="s">
        <v>9</v>
      </c>
      <c r="E1060" s="6">
        <v>751</v>
      </c>
      <c r="F1060" s="6">
        <v>203262.982689747</v>
      </c>
      <c r="G1060" s="6">
        <v>152650500</v>
      </c>
      <c r="H1060" s="6">
        <v>100732500</v>
      </c>
      <c r="I1060" s="6">
        <f t="shared" si="16"/>
        <v>30</v>
      </c>
      <c r="J1060" t="str" cm="1">
        <f t="array" ref="J1060">_xlfn.IFS(
AND(I1060&gt;=89,I1060&lt;=92),"D-90",
AND(I1060&gt;=58,I1060&lt;=62),"D-60",
AND(I1060&gt;=28,I1060&lt;=32),"D-30",
AND(I1060=0),"당월",
TRUE,"그외")</f>
        <v>D-30</v>
      </c>
    </row>
    <row r="1061" spans="1:10" ht="17.649999999999999" customHeight="1" x14ac:dyDescent="0.3">
      <c r="A1061" s="4">
        <v>46204</v>
      </c>
      <c r="B1061" s="5" t="s">
        <v>8</v>
      </c>
      <c r="C1061" s="4">
        <v>46174</v>
      </c>
      <c r="D1061" s="5" t="s">
        <v>10</v>
      </c>
      <c r="E1061" s="6">
        <v>2721</v>
      </c>
      <c r="F1061" s="6">
        <v>238872.17861080481</v>
      </c>
      <c r="G1061" s="6">
        <v>649971198</v>
      </c>
      <c r="H1061" s="6">
        <v>313047936</v>
      </c>
      <c r="I1061" s="6">
        <f t="shared" si="16"/>
        <v>30</v>
      </c>
      <c r="J1061" t="str" cm="1">
        <f t="array" ref="J1061">_xlfn.IFS(
AND(I1061&gt;=89,I1061&lt;=92),"D-90",
AND(I1061&gt;=58,I1061&lt;=62),"D-60",
AND(I1061&gt;=28,I1061&lt;=32),"D-30",
AND(I1061=0),"당월",
TRUE,"그외")</f>
        <v>D-30</v>
      </c>
    </row>
    <row r="1062" spans="1:10" ht="17.649999999999999" customHeight="1" x14ac:dyDescent="0.3">
      <c r="A1062" s="4">
        <v>46204</v>
      </c>
      <c r="B1062" s="5" t="s">
        <v>8</v>
      </c>
      <c r="C1062" s="4">
        <v>46204</v>
      </c>
      <c r="D1062" s="5" t="s">
        <v>9</v>
      </c>
      <c r="E1062" s="6">
        <v>113</v>
      </c>
      <c r="F1062" s="6">
        <v>255286.72566371679</v>
      </c>
      <c r="G1062" s="6">
        <v>28847400</v>
      </c>
      <c r="H1062" s="6">
        <v>10692600</v>
      </c>
      <c r="I1062" s="6">
        <f t="shared" si="16"/>
        <v>0</v>
      </c>
      <c r="J1062" t="str" cm="1">
        <f t="array" ref="J1062">_xlfn.IFS(
AND(I1062&gt;=89,I1062&lt;=92),"D-90",
AND(I1062&gt;=58,I1062&lt;=62),"D-60",
AND(I1062&gt;=28,I1062&lt;=32),"D-30",
AND(I1062=0),"당월",
TRUE,"그외")</f>
        <v>당월</v>
      </c>
    </row>
    <row r="1063" spans="1:10" ht="17.649999999999999" customHeight="1" x14ac:dyDescent="0.3">
      <c r="A1063" s="4">
        <v>46204</v>
      </c>
      <c r="B1063" s="5" t="s">
        <v>8</v>
      </c>
      <c r="C1063" s="4">
        <v>46204</v>
      </c>
      <c r="D1063" s="5" t="s">
        <v>10</v>
      </c>
      <c r="E1063" s="6">
        <v>1029</v>
      </c>
      <c r="F1063" s="6">
        <v>305741.84062196309</v>
      </c>
      <c r="G1063" s="6">
        <v>314608354</v>
      </c>
      <c r="H1063" s="6">
        <v>95487324</v>
      </c>
      <c r="I1063" s="6">
        <f t="shared" si="16"/>
        <v>0</v>
      </c>
      <c r="J1063" t="str" cm="1">
        <f t="array" ref="J1063">_xlfn.IFS(
AND(I1063&gt;=89,I1063&lt;=92),"D-90",
AND(I1063&gt;=58,I1063&lt;=62),"D-60",
AND(I1063&gt;=28,I1063&lt;=32),"D-30",
AND(I1063=0),"당월",
TRUE,"그외")</f>
        <v>당월</v>
      </c>
    </row>
    <row r="1064" spans="1:10" ht="17.649999999999999" customHeight="1" x14ac:dyDescent="0.3">
      <c r="A1064" s="4">
        <v>46204</v>
      </c>
      <c r="B1064" s="5" t="s">
        <v>11</v>
      </c>
      <c r="C1064" s="4">
        <v>45962</v>
      </c>
      <c r="D1064" s="5" t="s">
        <v>10</v>
      </c>
      <c r="E1064" s="6">
        <v>14</v>
      </c>
      <c r="F1064" s="6">
        <v>160985.71428571429</v>
      </c>
      <c r="G1064" s="6">
        <v>2253800</v>
      </c>
      <c r="H1064" s="6">
        <v>373800</v>
      </c>
      <c r="I1064" s="6">
        <f t="shared" si="16"/>
        <v>242</v>
      </c>
      <c r="J1064" t="str" cm="1">
        <f t="array" ref="J1064">_xlfn.IFS(
AND(I1064&gt;=89,I1064&lt;=92),"D-90",
AND(I1064&gt;=58,I1064&lt;=62),"D-60",
AND(I1064&gt;=28,I1064&lt;=32),"D-30",
AND(I1064=0),"당월",
TRUE,"그외")</f>
        <v>그외</v>
      </c>
    </row>
    <row r="1065" spans="1:10" ht="17.649999999999999" customHeight="1" x14ac:dyDescent="0.3">
      <c r="A1065" s="4">
        <v>46204</v>
      </c>
      <c r="B1065" s="5" t="s">
        <v>11</v>
      </c>
      <c r="C1065" s="4">
        <v>46023</v>
      </c>
      <c r="D1065" s="5" t="s">
        <v>10</v>
      </c>
      <c r="E1065" s="6">
        <v>47</v>
      </c>
      <c r="F1065" s="6">
        <v>175093.61702127659</v>
      </c>
      <c r="G1065" s="6">
        <v>8229400</v>
      </c>
      <c r="H1065" s="6">
        <v>1518100</v>
      </c>
      <c r="I1065" s="6">
        <f t="shared" si="16"/>
        <v>181</v>
      </c>
      <c r="J1065" t="str" cm="1">
        <f t="array" ref="J1065">_xlfn.IFS(
AND(I1065&gt;=89,I1065&lt;=92),"D-90",
AND(I1065&gt;=58,I1065&lt;=62),"D-60",
AND(I1065&gt;=28,I1065&lt;=32),"D-30",
AND(I1065=0),"당월",
TRUE,"그외")</f>
        <v>그외</v>
      </c>
    </row>
    <row r="1066" spans="1:10" ht="17.649999999999999" customHeight="1" x14ac:dyDescent="0.3">
      <c r="A1066" s="4">
        <v>46204</v>
      </c>
      <c r="B1066" s="5" t="s">
        <v>11</v>
      </c>
      <c r="C1066" s="4">
        <v>46054</v>
      </c>
      <c r="D1066" s="5" t="s">
        <v>10</v>
      </c>
      <c r="E1066" s="6">
        <v>165</v>
      </c>
      <c r="F1066" s="6">
        <v>218037.66060606061</v>
      </c>
      <c r="G1066" s="6">
        <v>35976214</v>
      </c>
      <c r="H1066" s="6">
        <v>3672922</v>
      </c>
      <c r="I1066" s="6">
        <f t="shared" si="16"/>
        <v>150</v>
      </c>
      <c r="J1066" t="str" cm="1">
        <f t="array" ref="J1066">_xlfn.IFS(
AND(I1066&gt;=89,I1066&lt;=92),"D-90",
AND(I1066&gt;=58,I1066&lt;=62),"D-60",
AND(I1066&gt;=28,I1066&lt;=32),"D-30",
AND(I1066=0),"당월",
TRUE,"그외")</f>
        <v>그외</v>
      </c>
    </row>
    <row r="1067" spans="1:10" ht="17.649999999999999" customHeight="1" x14ac:dyDescent="0.3">
      <c r="A1067" s="4">
        <v>46204</v>
      </c>
      <c r="B1067" s="5" t="s">
        <v>11</v>
      </c>
      <c r="C1067" s="4">
        <v>46082</v>
      </c>
      <c r="D1067" s="5" t="s">
        <v>9</v>
      </c>
      <c r="E1067" s="6">
        <v>99</v>
      </c>
      <c r="F1067" s="6">
        <v>233839.39393939401</v>
      </c>
      <c r="G1067" s="6">
        <v>23150100</v>
      </c>
      <c r="H1067" s="6">
        <v>2762100</v>
      </c>
      <c r="I1067" s="6">
        <f t="shared" si="16"/>
        <v>122</v>
      </c>
      <c r="J1067" t="str" cm="1">
        <f t="array" ref="J1067">_xlfn.IFS(
AND(I1067&gt;=89,I1067&lt;=92),"D-90",
AND(I1067&gt;=58,I1067&lt;=62),"D-60",
AND(I1067&gt;=28,I1067&lt;=32),"D-30",
AND(I1067=0),"당월",
TRUE,"그외")</f>
        <v>그외</v>
      </c>
    </row>
    <row r="1068" spans="1:10" ht="17.649999999999999" customHeight="1" x14ac:dyDescent="0.3">
      <c r="A1068" s="4">
        <v>46204</v>
      </c>
      <c r="B1068" s="5" t="s">
        <v>11</v>
      </c>
      <c r="C1068" s="4">
        <v>46082</v>
      </c>
      <c r="D1068" s="5" t="s">
        <v>10</v>
      </c>
      <c r="E1068" s="6">
        <v>754</v>
      </c>
      <c r="F1068" s="6">
        <v>271045.02652519889</v>
      </c>
      <c r="G1068" s="6">
        <v>204367950</v>
      </c>
      <c r="H1068" s="6">
        <v>21062005</v>
      </c>
      <c r="I1068" s="6">
        <f t="shared" si="16"/>
        <v>122</v>
      </c>
      <c r="J1068" t="str" cm="1">
        <f t="array" ref="J1068">_xlfn.IFS(
AND(I1068&gt;=89,I1068&lt;=92),"D-90",
AND(I1068&gt;=58,I1068&lt;=62),"D-60",
AND(I1068&gt;=28,I1068&lt;=32),"D-30",
AND(I1068=0),"당월",
TRUE,"그외")</f>
        <v>그외</v>
      </c>
    </row>
    <row r="1069" spans="1:10" ht="17.649999999999999" customHeight="1" x14ac:dyDescent="0.3">
      <c r="A1069" s="4">
        <v>46204</v>
      </c>
      <c r="B1069" s="5" t="s">
        <v>11</v>
      </c>
      <c r="C1069" s="4">
        <v>46113</v>
      </c>
      <c r="D1069" s="5" t="s">
        <v>9</v>
      </c>
      <c r="E1069" s="6">
        <v>218</v>
      </c>
      <c r="F1069" s="6">
        <v>274255.04587155959</v>
      </c>
      <c r="G1069" s="6">
        <v>59787600</v>
      </c>
      <c r="H1069" s="6">
        <v>17519600</v>
      </c>
      <c r="I1069" s="6">
        <f t="shared" si="16"/>
        <v>91</v>
      </c>
      <c r="J1069" t="str" cm="1">
        <f t="array" ref="J1069">_xlfn.IFS(
AND(I1069&gt;=89,I1069&lt;=92),"D-90",
AND(I1069&gt;=58,I1069&lt;=62),"D-60",
AND(I1069&gt;=28,I1069&lt;=32),"D-30",
AND(I1069=0),"당월",
TRUE,"그외")</f>
        <v>D-90</v>
      </c>
    </row>
    <row r="1070" spans="1:10" ht="17.649999999999999" customHeight="1" x14ac:dyDescent="0.3">
      <c r="A1070" s="4">
        <v>46204</v>
      </c>
      <c r="B1070" s="5" t="s">
        <v>11</v>
      </c>
      <c r="C1070" s="4">
        <v>46113</v>
      </c>
      <c r="D1070" s="5" t="s">
        <v>10</v>
      </c>
      <c r="E1070" s="6">
        <v>165</v>
      </c>
      <c r="F1070" s="6">
        <v>239730.7878787879</v>
      </c>
      <c r="G1070" s="6">
        <v>39555580</v>
      </c>
      <c r="H1070" s="6">
        <v>8617100</v>
      </c>
      <c r="I1070" s="6">
        <f t="shared" si="16"/>
        <v>91</v>
      </c>
      <c r="J1070" t="str" cm="1">
        <f t="array" ref="J1070">_xlfn.IFS(
AND(I1070&gt;=89,I1070&lt;=92),"D-90",
AND(I1070&gt;=58,I1070&lt;=62),"D-60",
AND(I1070&gt;=28,I1070&lt;=32),"D-30",
AND(I1070=0),"당월",
TRUE,"그외")</f>
        <v>D-90</v>
      </c>
    </row>
    <row r="1071" spans="1:10" ht="17.649999999999999" customHeight="1" x14ac:dyDescent="0.3">
      <c r="A1071" s="4">
        <v>46204</v>
      </c>
      <c r="B1071" s="5" t="s">
        <v>11</v>
      </c>
      <c r="C1071" s="4">
        <v>46143</v>
      </c>
      <c r="D1071" s="5" t="s">
        <v>9</v>
      </c>
      <c r="E1071" s="6">
        <v>6</v>
      </c>
      <c r="F1071" s="6">
        <v>338100</v>
      </c>
      <c r="G1071" s="6">
        <v>2028600</v>
      </c>
      <c r="H1071" s="6">
        <v>848600</v>
      </c>
      <c r="I1071" s="6">
        <f t="shared" si="16"/>
        <v>61</v>
      </c>
      <c r="J1071" t="str" cm="1">
        <f t="array" ref="J1071">_xlfn.IFS(
AND(I1071&gt;=89,I1071&lt;=92),"D-90",
AND(I1071&gt;=58,I1071&lt;=62),"D-60",
AND(I1071&gt;=28,I1071&lt;=32),"D-30",
AND(I1071=0),"당월",
TRUE,"그외")</f>
        <v>D-60</v>
      </c>
    </row>
    <row r="1072" spans="1:10" ht="17.649999999999999" customHeight="1" x14ac:dyDescent="0.3">
      <c r="A1072" s="4">
        <v>46204</v>
      </c>
      <c r="B1072" s="5" t="s">
        <v>11</v>
      </c>
      <c r="C1072" s="4">
        <v>46143</v>
      </c>
      <c r="D1072" s="5" t="s">
        <v>10</v>
      </c>
      <c r="E1072" s="6">
        <v>243</v>
      </c>
      <c r="F1072" s="6">
        <v>292727.30864197528</v>
      </c>
      <c r="G1072" s="6">
        <v>71132736</v>
      </c>
      <c r="H1072" s="6">
        <v>36227213</v>
      </c>
      <c r="I1072" s="6">
        <f t="shared" si="16"/>
        <v>61</v>
      </c>
      <c r="J1072" t="str" cm="1">
        <f t="array" ref="J1072">_xlfn.IFS(
AND(I1072&gt;=89,I1072&lt;=92),"D-90",
AND(I1072&gt;=58,I1072&lt;=62),"D-60",
AND(I1072&gt;=28,I1072&lt;=32),"D-30",
AND(I1072=0),"당월",
TRUE,"그외")</f>
        <v>D-60</v>
      </c>
    </row>
    <row r="1073" spans="1:10" ht="17.649999999999999" customHeight="1" x14ac:dyDescent="0.3">
      <c r="A1073" s="4">
        <v>46204</v>
      </c>
      <c r="B1073" s="5" t="s">
        <v>11</v>
      </c>
      <c r="C1073" s="4">
        <v>46174</v>
      </c>
      <c r="D1073" s="5" t="s">
        <v>9</v>
      </c>
      <c r="E1073" s="6">
        <v>1004</v>
      </c>
      <c r="F1073" s="6">
        <v>207244.82071713149</v>
      </c>
      <c r="G1073" s="6">
        <v>208073800</v>
      </c>
      <c r="H1073" s="6">
        <v>135238800</v>
      </c>
      <c r="I1073" s="6">
        <f t="shared" si="16"/>
        <v>30</v>
      </c>
      <c r="J1073" t="str" cm="1">
        <f t="array" ref="J1073">_xlfn.IFS(
AND(I1073&gt;=89,I1073&lt;=92),"D-90",
AND(I1073&gt;=58,I1073&lt;=62),"D-60",
AND(I1073&gt;=28,I1073&lt;=32),"D-30",
AND(I1073=0),"당월",
TRUE,"그외")</f>
        <v>D-30</v>
      </c>
    </row>
    <row r="1074" spans="1:10" ht="17.649999999999999" customHeight="1" x14ac:dyDescent="0.3">
      <c r="A1074" s="4">
        <v>46204</v>
      </c>
      <c r="B1074" s="5" t="s">
        <v>11</v>
      </c>
      <c r="C1074" s="4">
        <v>46174</v>
      </c>
      <c r="D1074" s="5" t="s">
        <v>10</v>
      </c>
      <c r="E1074" s="6">
        <v>1585</v>
      </c>
      <c r="F1074" s="6">
        <v>253541.52176656149</v>
      </c>
      <c r="G1074" s="6">
        <v>401863312</v>
      </c>
      <c r="H1074" s="6">
        <v>201180340</v>
      </c>
      <c r="I1074" s="6">
        <f t="shared" si="16"/>
        <v>30</v>
      </c>
      <c r="J1074" t="str" cm="1">
        <f t="array" ref="J1074">_xlfn.IFS(
AND(I1074&gt;=89,I1074&lt;=92),"D-90",
AND(I1074&gt;=58,I1074&lt;=62),"D-60",
AND(I1074&gt;=28,I1074&lt;=32),"D-30",
AND(I1074=0),"당월",
TRUE,"그외")</f>
        <v>D-30</v>
      </c>
    </row>
    <row r="1075" spans="1:10" ht="17.649999999999999" customHeight="1" x14ac:dyDescent="0.3">
      <c r="A1075" s="4">
        <v>46204</v>
      </c>
      <c r="B1075" s="5" t="s">
        <v>11</v>
      </c>
      <c r="C1075" s="4">
        <v>46204</v>
      </c>
      <c r="D1075" s="5" t="s">
        <v>9</v>
      </c>
      <c r="E1075" s="6">
        <v>199</v>
      </c>
      <c r="F1075" s="6">
        <v>262998.49246231158</v>
      </c>
      <c r="G1075" s="6">
        <v>52336700</v>
      </c>
      <c r="H1075" s="6">
        <v>19316700</v>
      </c>
      <c r="I1075" s="6">
        <f t="shared" si="16"/>
        <v>0</v>
      </c>
      <c r="J1075" t="str" cm="1">
        <f t="array" ref="J1075">_xlfn.IFS(
AND(I1075&gt;=89,I1075&lt;=92),"D-90",
AND(I1075&gt;=58,I1075&lt;=62),"D-60",
AND(I1075&gt;=28,I1075&lt;=32),"D-30",
AND(I1075=0),"당월",
TRUE,"그외")</f>
        <v>당월</v>
      </c>
    </row>
    <row r="1076" spans="1:10" ht="17.649999999999999" customHeight="1" x14ac:dyDescent="0.3">
      <c r="A1076" s="4">
        <v>46204</v>
      </c>
      <c r="B1076" s="5" t="s">
        <v>11</v>
      </c>
      <c r="C1076" s="4">
        <v>46204</v>
      </c>
      <c r="D1076" s="5" t="s">
        <v>10</v>
      </c>
      <c r="E1076" s="6">
        <v>893</v>
      </c>
      <c r="F1076" s="6">
        <v>290566.29003359459</v>
      </c>
      <c r="G1076" s="6">
        <v>259475697</v>
      </c>
      <c r="H1076" s="6">
        <v>85481161</v>
      </c>
      <c r="I1076" s="6">
        <f t="shared" si="16"/>
        <v>0</v>
      </c>
      <c r="J1076" t="str" cm="1">
        <f t="array" ref="J1076">_xlfn.IFS(
AND(I1076&gt;=89,I1076&lt;=92),"D-90",
AND(I1076&gt;=58,I1076&lt;=62),"D-60",
AND(I1076&gt;=28,I1076&lt;=32),"D-30",
AND(I1076=0),"당월",
TRUE,"그외")</f>
        <v>당월</v>
      </c>
    </row>
    <row r="1077" spans="1:10" ht="17.649999999999999" customHeight="1" x14ac:dyDescent="0.3">
      <c r="A1077" s="4">
        <v>46204</v>
      </c>
      <c r="B1077" s="5" t="s">
        <v>12</v>
      </c>
      <c r="C1077" s="4">
        <v>45992</v>
      </c>
      <c r="D1077" s="5" t="s">
        <v>10</v>
      </c>
      <c r="E1077" s="6">
        <v>29</v>
      </c>
      <c r="F1077" s="6">
        <v>258768.96551724139</v>
      </c>
      <c r="G1077" s="6">
        <v>7504300</v>
      </c>
      <c r="H1077" s="6">
        <v>919300</v>
      </c>
      <c r="I1077" s="6">
        <f t="shared" si="16"/>
        <v>212</v>
      </c>
      <c r="J1077" t="str" cm="1">
        <f t="array" ref="J1077">_xlfn.IFS(
AND(I1077&gt;=89,I1077&lt;=92),"D-90",
AND(I1077&gt;=58,I1077&lt;=62),"D-60",
AND(I1077&gt;=28,I1077&lt;=32),"D-30",
AND(I1077=0),"당월",
TRUE,"그외")</f>
        <v>그외</v>
      </c>
    </row>
    <row r="1078" spans="1:10" ht="17.649999999999999" customHeight="1" x14ac:dyDescent="0.3">
      <c r="A1078" s="4">
        <v>46204</v>
      </c>
      <c r="B1078" s="5" t="s">
        <v>12</v>
      </c>
      <c r="C1078" s="4">
        <v>46023</v>
      </c>
      <c r="D1078" s="5" t="s">
        <v>10</v>
      </c>
      <c r="E1078" s="6">
        <v>116</v>
      </c>
      <c r="F1078" s="6">
        <v>275278.10344827588</v>
      </c>
      <c r="G1078" s="6">
        <v>31932260</v>
      </c>
      <c r="H1078" s="6">
        <v>3746800</v>
      </c>
      <c r="I1078" s="6">
        <f t="shared" si="16"/>
        <v>181</v>
      </c>
      <c r="J1078" t="str" cm="1">
        <f t="array" ref="J1078">_xlfn.IFS(
AND(I1078&gt;=89,I1078&lt;=92),"D-90",
AND(I1078&gt;=58,I1078&lt;=62),"D-60",
AND(I1078&gt;=28,I1078&lt;=32),"D-30",
AND(I1078=0),"당월",
TRUE,"그외")</f>
        <v>그외</v>
      </c>
    </row>
    <row r="1079" spans="1:10" ht="17.649999999999999" customHeight="1" x14ac:dyDescent="0.3">
      <c r="A1079" s="4">
        <v>46204</v>
      </c>
      <c r="B1079" s="5" t="s">
        <v>12</v>
      </c>
      <c r="C1079" s="4">
        <v>46054</v>
      </c>
      <c r="D1079" s="5" t="s">
        <v>10</v>
      </c>
      <c r="E1079" s="6">
        <v>237</v>
      </c>
      <c r="F1079" s="6">
        <v>247878.27004219411</v>
      </c>
      <c r="G1079" s="6">
        <v>58747150</v>
      </c>
      <c r="H1079" s="6">
        <v>5256604</v>
      </c>
      <c r="I1079" s="6">
        <f t="shared" si="16"/>
        <v>150</v>
      </c>
      <c r="J1079" t="str" cm="1">
        <f t="array" ref="J1079">_xlfn.IFS(
AND(I1079&gt;=89,I1079&lt;=92),"D-90",
AND(I1079&gt;=58,I1079&lt;=62),"D-60",
AND(I1079&gt;=28,I1079&lt;=32),"D-30",
AND(I1079=0),"당월",
TRUE,"그외")</f>
        <v>그외</v>
      </c>
    </row>
    <row r="1080" spans="1:10" ht="17.649999999999999" customHeight="1" x14ac:dyDescent="0.3">
      <c r="A1080" s="4">
        <v>46204</v>
      </c>
      <c r="B1080" s="5" t="s">
        <v>12</v>
      </c>
      <c r="C1080" s="4">
        <v>46082</v>
      </c>
      <c r="D1080" s="5" t="s">
        <v>9</v>
      </c>
      <c r="E1080" s="6">
        <v>26</v>
      </c>
      <c r="F1080" s="6">
        <v>257900</v>
      </c>
      <c r="G1080" s="6">
        <v>6705400</v>
      </c>
      <c r="H1080" s="6">
        <v>725400</v>
      </c>
      <c r="I1080" s="6">
        <f t="shared" si="16"/>
        <v>122</v>
      </c>
      <c r="J1080" t="str" cm="1">
        <f t="array" ref="J1080">_xlfn.IFS(
AND(I1080&gt;=89,I1080&lt;=92),"D-90",
AND(I1080&gt;=58,I1080&lt;=62),"D-60",
AND(I1080&gt;=28,I1080&lt;=32),"D-30",
AND(I1080=0),"당월",
TRUE,"그외")</f>
        <v>그외</v>
      </c>
    </row>
    <row r="1081" spans="1:10" ht="17.649999999999999" customHeight="1" x14ac:dyDescent="0.3">
      <c r="A1081" s="4">
        <v>46204</v>
      </c>
      <c r="B1081" s="5" t="s">
        <v>12</v>
      </c>
      <c r="C1081" s="4">
        <v>46082</v>
      </c>
      <c r="D1081" s="5" t="s">
        <v>10</v>
      </c>
      <c r="E1081" s="6">
        <v>722</v>
      </c>
      <c r="F1081" s="6">
        <v>281425.67867036012</v>
      </c>
      <c r="G1081" s="6">
        <v>203189340</v>
      </c>
      <c r="H1081" s="6">
        <v>20146600</v>
      </c>
      <c r="I1081" s="6">
        <f t="shared" si="16"/>
        <v>122</v>
      </c>
      <c r="J1081" t="str" cm="1">
        <f t="array" ref="J1081">_xlfn.IFS(
AND(I1081&gt;=89,I1081&lt;=92),"D-90",
AND(I1081&gt;=58,I1081&lt;=62),"D-60",
AND(I1081&gt;=28,I1081&lt;=32),"D-30",
AND(I1081=0),"당월",
TRUE,"그외")</f>
        <v>그외</v>
      </c>
    </row>
    <row r="1082" spans="1:10" ht="17.649999999999999" customHeight="1" x14ac:dyDescent="0.3">
      <c r="A1082" s="4">
        <v>46204</v>
      </c>
      <c r="B1082" s="5" t="s">
        <v>12</v>
      </c>
      <c r="C1082" s="4">
        <v>46113</v>
      </c>
      <c r="D1082" s="5" t="s">
        <v>9</v>
      </c>
      <c r="E1082" s="6">
        <v>34</v>
      </c>
      <c r="F1082" s="6">
        <v>139664.70588235301</v>
      </c>
      <c r="G1082" s="6">
        <v>4748600</v>
      </c>
      <c r="H1082" s="6">
        <v>1308600</v>
      </c>
      <c r="I1082" s="6">
        <f t="shared" si="16"/>
        <v>91</v>
      </c>
      <c r="J1082" t="str" cm="1">
        <f t="array" ref="J1082">_xlfn.IFS(
AND(I1082&gt;=89,I1082&lt;=92),"D-90",
AND(I1082&gt;=58,I1082&lt;=62),"D-60",
AND(I1082&gt;=28,I1082&lt;=32),"D-30",
AND(I1082=0),"당월",
TRUE,"그외")</f>
        <v>D-90</v>
      </c>
    </row>
    <row r="1083" spans="1:10" ht="17.649999999999999" customHeight="1" x14ac:dyDescent="0.3">
      <c r="A1083" s="4">
        <v>46204</v>
      </c>
      <c r="B1083" s="5" t="s">
        <v>12</v>
      </c>
      <c r="C1083" s="4">
        <v>46113</v>
      </c>
      <c r="D1083" s="5" t="s">
        <v>10</v>
      </c>
      <c r="E1083" s="6">
        <v>353</v>
      </c>
      <c r="F1083" s="6">
        <v>278368.48725212459</v>
      </c>
      <c r="G1083" s="6">
        <v>98264076</v>
      </c>
      <c r="H1083" s="6">
        <v>27695474</v>
      </c>
      <c r="I1083" s="6">
        <f t="shared" si="16"/>
        <v>91</v>
      </c>
      <c r="J1083" t="str" cm="1">
        <f t="array" ref="J1083">_xlfn.IFS(
AND(I1083&gt;=89,I1083&lt;=92),"D-90",
AND(I1083&gt;=58,I1083&lt;=62),"D-60",
AND(I1083&gt;=28,I1083&lt;=32),"D-30",
AND(I1083=0),"당월",
TRUE,"그외")</f>
        <v>D-90</v>
      </c>
    </row>
    <row r="1084" spans="1:10" ht="17.649999999999999" customHeight="1" x14ac:dyDescent="0.3">
      <c r="A1084" s="4">
        <v>46204</v>
      </c>
      <c r="B1084" s="5" t="s">
        <v>12</v>
      </c>
      <c r="C1084" s="4">
        <v>46143</v>
      </c>
      <c r="D1084" s="5" t="s">
        <v>10</v>
      </c>
      <c r="E1084" s="6">
        <v>552</v>
      </c>
      <c r="F1084" s="6">
        <v>266108.68115942029</v>
      </c>
      <c r="G1084" s="6">
        <v>146891992</v>
      </c>
      <c r="H1084" s="6">
        <v>84702889</v>
      </c>
      <c r="I1084" s="6">
        <f t="shared" si="16"/>
        <v>61</v>
      </c>
      <c r="J1084" t="str" cm="1">
        <f t="array" ref="J1084">_xlfn.IFS(
AND(I1084&gt;=89,I1084&lt;=92),"D-90",
AND(I1084&gt;=58,I1084&lt;=62),"D-60",
AND(I1084&gt;=28,I1084&lt;=32),"D-30",
AND(I1084=0),"당월",
TRUE,"그외")</f>
        <v>D-60</v>
      </c>
    </row>
    <row r="1085" spans="1:10" ht="17.649999999999999" customHeight="1" x14ac:dyDescent="0.3">
      <c r="A1085" s="4">
        <v>46204</v>
      </c>
      <c r="B1085" s="5" t="s">
        <v>12</v>
      </c>
      <c r="C1085" s="4">
        <v>46174</v>
      </c>
      <c r="D1085" s="5" t="s">
        <v>9</v>
      </c>
      <c r="E1085" s="6">
        <v>732</v>
      </c>
      <c r="F1085" s="6">
        <v>227639.89071038249</v>
      </c>
      <c r="G1085" s="6">
        <v>166632400</v>
      </c>
      <c r="H1085" s="6">
        <v>98600400</v>
      </c>
      <c r="I1085" s="6">
        <f t="shared" si="16"/>
        <v>30</v>
      </c>
      <c r="J1085" t="str" cm="1">
        <f t="array" ref="J1085">_xlfn.IFS(
AND(I1085&gt;=89,I1085&lt;=92),"D-90",
AND(I1085&gt;=58,I1085&lt;=62),"D-60",
AND(I1085&gt;=28,I1085&lt;=32),"D-30",
AND(I1085=0),"당월",
TRUE,"그외")</f>
        <v>D-30</v>
      </c>
    </row>
    <row r="1086" spans="1:10" ht="17.649999999999999" customHeight="1" x14ac:dyDescent="0.3">
      <c r="A1086" s="4">
        <v>46204</v>
      </c>
      <c r="B1086" s="5" t="s">
        <v>12</v>
      </c>
      <c r="C1086" s="4">
        <v>46174</v>
      </c>
      <c r="D1086" s="5" t="s">
        <v>10</v>
      </c>
      <c r="E1086" s="6">
        <v>1652</v>
      </c>
      <c r="F1086" s="6">
        <v>265285.44733656169</v>
      </c>
      <c r="G1086" s="6">
        <v>438251559</v>
      </c>
      <c r="H1086" s="6">
        <v>211713150</v>
      </c>
      <c r="I1086" s="6">
        <f t="shared" si="16"/>
        <v>30</v>
      </c>
      <c r="J1086" t="str" cm="1">
        <f t="array" ref="J1086">_xlfn.IFS(
AND(I1086&gt;=89,I1086&lt;=92),"D-90",
AND(I1086&gt;=58,I1086&lt;=62),"D-60",
AND(I1086&gt;=28,I1086&lt;=32),"D-30",
AND(I1086=0),"당월",
TRUE,"그외")</f>
        <v>D-30</v>
      </c>
    </row>
    <row r="1087" spans="1:10" ht="17.649999999999999" customHeight="1" x14ac:dyDescent="0.3">
      <c r="A1087" s="4">
        <v>46204</v>
      </c>
      <c r="B1087" s="5" t="s">
        <v>12</v>
      </c>
      <c r="C1087" s="4">
        <v>46204</v>
      </c>
      <c r="D1087" s="5" t="s">
        <v>9</v>
      </c>
      <c r="E1087" s="6">
        <v>130</v>
      </c>
      <c r="F1087" s="6">
        <v>274038.46153846162</v>
      </c>
      <c r="G1087" s="6">
        <v>35625000</v>
      </c>
      <c r="H1087" s="6">
        <v>12636000</v>
      </c>
      <c r="I1087" s="6">
        <f t="shared" si="16"/>
        <v>0</v>
      </c>
      <c r="J1087" t="str" cm="1">
        <f t="array" ref="J1087">_xlfn.IFS(
AND(I1087&gt;=89,I1087&lt;=92),"D-90",
AND(I1087&gt;=58,I1087&lt;=62),"D-60",
AND(I1087&gt;=28,I1087&lt;=32),"D-30",
AND(I1087=0),"당월",
TRUE,"그외")</f>
        <v>당월</v>
      </c>
    </row>
    <row r="1088" spans="1:10" ht="17.649999999999999" customHeight="1" x14ac:dyDescent="0.3">
      <c r="A1088" s="4">
        <v>46204</v>
      </c>
      <c r="B1088" s="5" t="s">
        <v>12</v>
      </c>
      <c r="C1088" s="4">
        <v>46204</v>
      </c>
      <c r="D1088" s="5" t="s">
        <v>10</v>
      </c>
      <c r="E1088" s="6">
        <v>696</v>
      </c>
      <c r="F1088" s="6">
        <v>288298.216954023</v>
      </c>
      <c r="G1088" s="6">
        <v>200655559</v>
      </c>
      <c r="H1088" s="6">
        <v>65716576</v>
      </c>
      <c r="I1088" s="6">
        <f t="shared" si="16"/>
        <v>0</v>
      </c>
      <c r="J1088" t="str" cm="1">
        <f t="array" ref="J1088">_xlfn.IFS(
AND(I1088&gt;=89,I1088&lt;=92),"D-90",
AND(I1088&gt;=58,I1088&lt;=62),"D-60",
AND(I1088&gt;=28,I1088&lt;=32),"D-30",
AND(I1088=0),"당월",
TRUE,"그외")</f>
        <v>당월</v>
      </c>
    </row>
    <row r="1089" spans="1:10" ht="17.649999999999999" customHeight="1" x14ac:dyDescent="0.3">
      <c r="A1089" s="4">
        <v>46204</v>
      </c>
      <c r="B1089" s="5" t="s">
        <v>13</v>
      </c>
      <c r="C1089" s="4">
        <v>45962</v>
      </c>
      <c r="D1089" s="5" t="s">
        <v>10</v>
      </c>
      <c r="E1089" s="6">
        <v>20</v>
      </c>
      <c r="F1089" s="6">
        <v>256700</v>
      </c>
      <c r="G1089" s="6">
        <v>5134000</v>
      </c>
      <c r="H1089" s="6">
        <v>534000</v>
      </c>
      <c r="I1089" s="6">
        <f t="shared" si="16"/>
        <v>242</v>
      </c>
      <c r="J1089" t="str" cm="1">
        <f t="array" ref="J1089">_xlfn.IFS(
AND(I1089&gt;=89,I1089&lt;=92),"D-90",
AND(I1089&gt;=58,I1089&lt;=62),"D-60",
AND(I1089&gt;=28,I1089&lt;=32),"D-30",
AND(I1089=0),"당월",
TRUE,"그외")</f>
        <v>그외</v>
      </c>
    </row>
    <row r="1090" spans="1:10" ht="17.649999999999999" customHeight="1" x14ac:dyDescent="0.3">
      <c r="A1090" s="4">
        <v>46204</v>
      </c>
      <c r="B1090" s="5" t="s">
        <v>13</v>
      </c>
      <c r="C1090" s="4">
        <v>45992</v>
      </c>
      <c r="D1090" s="5" t="s">
        <v>10</v>
      </c>
      <c r="E1090" s="6">
        <v>13</v>
      </c>
      <c r="F1090" s="6">
        <v>254776.92307692309</v>
      </c>
      <c r="G1090" s="6">
        <v>3312100</v>
      </c>
      <c r="H1090" s="6">
        <v>412100</v>
      </c>
      <c r="I1090" s="6">
        <f t="shared" si="16"/>
        <v>212</v>
      </c>
      <c r="J1090" t="str" cm="1">
        <f t="array" ref="J1090">_xlfn.IFS(
AND(I1090&gt;=89,I1090&lt;=92),"D-90",
AND(I1090&gt;=58,I1090&lt;=62),"D-60",
AND(I1090&gt;=28,I1090&lt;=32),"D-30",
AND(I1090=0),"당월",
TRUE,"그외")</f>
        <v>그외</v>
      </c>
    </row>
    <row r="1091" spans="1:10" ht="17.649999999999999" customHeight="1" x14ac:dyDescent="0.3">
      <c r="A1091" s="4">
        <v>46204</v>
      </c>
      <c r="B1091" s="5" t="s">
        <v>13</v>
      </c>
      <c r="C1091" s="4">
        <v>46023</v>
      </c>
      <c r="D1091" s="5" t="s">
        <v>10</v>
      </c>
      <c r="E1091" s="6">
        <v>186</v>
      </c>
      <c r="F1091" s="6">
        <v>248939.2634408602</v>
      </c>
      <c r="G1091" s="6">
        <v>46302703</v>
      </c>
      <c r="H1091" s="6">
        <v>6081271</v>
      </c>
      <c r="I1091" s="6">
        <f t="shared" ref="I1091:I1154" si="17">A1091-C1091</f>
        <v>181</v>
      </c>
      <c r="J1091" t="str" cm="1">
        <f t="array" ref="J1091">_xlfn.IFS(
AND(I1091&gt;=89,I1091&lt;=92),"D-90",
AND(I1091&gt;=58,I1091&lt;=62),"D-60",
AND(I1091&gt;=28,I1091&lt;=32),"D-30",
AND(I1091=0),"당월",
TRUE,"그외")</f>
        <v>그외</v>
      </c>
    </row>
    <row r="1092" spans="1:10" ht="17.649999999999999" customHeight="1" x14ac:dyDescent="0.3">
      <c r="A1092" s="4">
        <v>46204</v>
      </c>
      <c r="B1092" s="5" t="s">
        <v>13</v>
      </c>
      <c r="C1092" s="4">
        <v>46054</v>
      </c>
      <c r="D1092" s="5" t="s">
        <v>10</v>
      </c>
      <c r="E1092" s="6">
        <v>388</v>
      </c>
      <c r="F1092" s="6">
        <v>214671.90721649479</v>
      </c>
      <c r="G1092" s="6">
        <v>83292700</v>
      </c>
      <c r="H1092" s="6">
        <v>8536000</v>
      </c>
      <c r="I1092" s="6">
        <f t="shared" si="17"/>
        <v>150</v>
      </c>
      <c r="J1092" t="str" cm="1">
        <f t="array" ref="J1092">_xlfn.IFS(
AND(I1092&gt;=89,I1092&lt;=92),"D-90",
AND(I1092&gt;=58,I1092&lt;=62),"D-60",
AND(I1092&gt;=28,I1092&lt;=32),"D-30",
AND(I1092=0),"당월",
TRUE,"그외")</f>
        <v>그외</v>
      </c>
    </row>
    <row r="1093" spans="1:10" ht="17.649999999999999" customHeight="1" x14ac:dyDescent="0.3">
      <c r="A1093" s="4">
        <v>46204</v>
      </c>
      <c r="B1093" s="5" t="s">
        <v>13</v>
      </c>
      <c r="C1093" s="4">
        <v>46082</v>
      </c>
      <c r="D1093" s="5" t="s">
        <v>9</v>
      </c>
      <c r="E1093" s="6">
        <v>12</v>
      </c>
      <c r="F1093" s="6">
        <v>198900</v>
      </c>
      <c r="G1093" s="6">
        <v>2386800</v>
      </c>
      <c r="H1093" s="6">
        <v>334800</v>
      </c>
      <c r="I1093" s="6">
        <f t="shared" si="17"/>
        <v>122</v>
      </c>
      <c r="J1093" t="str" cm="1">
        <f t="array" ref="J1093">_xlfn.IFS(
AND(I1093&gt;=89,I1093&lt;=92),"D-90",
AND(I1093&gt;=58,I1093&lt;=62),"D-60",
AND(I1093&gt;=28,I1093&lt;=32),"D-30",
AND(I1093=0),"당월",
TRUE,"그외")</f>
        <v>그외</v>
      </c>
    </row>
    <row r="1094" spans="1:10" ht="17.649999999999999" customHeight="1" x14ac:dyDescent="0.3">
      <c r="A1094" s="4">
        <v>46204</v>
      </c>
      <c r="B1094" s="5" t="s">
        <v>13</v>
      </c>
      <c r="C1094" s="4">
        <v>46082</v>
      </c>
      <c r="D1094" s="5" t="s">
        <v>10</v>
      </c>
      <c r="E1094" s="6">
        <v>920</v>
      </c>
      <c r="F1094" s="6">
        <v>237661.63043478259</v>
      </c>
      <c r="G1094" s="6">
        <v>218648700</v>
      </c>
      <c r="H1094" s="6">
        <v>25656200</v>
      </c>
      <c r="I1094" s="6">
        <f t="shared" si="17"/>
        <v>122</v>
      </c>
      <c r="J1094" t="str" cm="1">
        <f t="array" ref="J1094">_xlfn.IFS(
AND(I1094&gt;=89,I1094&lt;=92),"D-90",
AND(I1094&gt;=58,I1094&lt;=62),"D-60",
AND(I1094&gt;=28,I1094&lt;=32),"D-30",
AND(I1094=0),"당월",
TRUE,"그외")</f>
        <v>그외</v>
      </c>
    </row>
    <row r="1095" spans="1:10" ht="17.649999999999999" customHeight="1" x14ac:dyDescent="0.3">
      <c r="A1095" s="4">
        <v>46204</v>
      </c>
      <c r="B1095" s="5" t="s">
        <v>13</v>
      </c>
      <c r="C1095" s="4">
        <v>46113</v>
      </c>
      <c r="D1095" s="5" t="s">
        <v>9</v>
      </c>
      <c r="E1095" s="6">
        <v>160</v>
      </c>
      <c r="F1095" s="6">
        <v>150437.5</v>
      </c>
      <c r="G1095" s="6">
        <v>24070000</v>
      </c>
      <c r="H1095" s="6">
        <v>8784000</v>
      </c>
      <c r="I1095" s="6">
        <f t="shared" si="17"/>
        <v>91</v>
      </c>
      <c r="J1095" t="str" cm="1">
        <f t="array" ref="J1095">_xlfn.IFS(
AND(I1095&gt;=89,I1095&lt;=92),"D-90",
AND(I1095&gt;=58,I1095&lt;=62),"D-60",
AND(I1095&gt;=28,I1095&lt;=32),"D-30",
AND(I1095=0),"당월",
TRUE,"그외")</f>
        <v>D-90</v>
      </c>
    </row>
    <row r="1096" spans="1:10" ht="17.649999999999999" customHeight="1" x14ac:dyDescent="0.3">
      <c r="A1096" s="4">
        <v>46204</v>
      </c>
      <c r="B1096" s="5" t="s">
        <v>13</v>
      </c>
      <c r="C1096" s="4">
        <v>46113</v>
      </c>
      <c r="D1096" s="5" t="s">
        <v>10</v>
      </c>
      <c r="E1096" s="6">
        <v>250</v>
      </c>
      <c r="F1096" s="6">
        <v>228392</v>
      </c>
      <c r="G1096" s="6">
        <v>57098000</v>
      </c>
      <c r="H1096" s="6">
        <v>15820400</v>
      </c>
      <c r="I1096" s="6">
        <f t="shared" si="17"/>
        <v>91</v>
      </c>
      <c r="J1096" t="str" cm="1">
        <f t="array" ref="J1096">_xlfn.IFS(
AND(I1096&gt;=89,I1096&lt;=92),"D-90",
AND(I1096&gt;=58,I1096&lt;=62),"D-60",
AND(I1096&gt;=28,I1096&lt;=32),"D-30",
AND(I1096=0),"당월",
TRUE,"그외")</f>
        <v>D-90</v>
      </c>
    </row>
    <row r="1097" spans="1:10" ht="17.649999999999999" customHeight="1" x14ac:dyDescent="0.3">
      <c r="A1097" s="4">
        <v>46204</v>
      </c>
      <c r="B1097" s="5" t="s">
        <v>13</v>
      </c>
      <c r="C1097" s="4">
        <v>46143</v>
      </c>
      <c r="D1097" s="5" t="s">
        <v>9</v>
      </c>
      <c r="E1097" s="6">
        <v>6</v>
      </c>
      <c r="F1097" s="6">
        <v>339200</v>
      </c>
      <c r="G1097" s="6">
        <v>2035200</v>
      </c>
      <c r="H1097" s="6">
        <v>1009200</v>
      </c>
      <c r="I1097" s="6">
        <f t="shared" si="17"/>
        <v>61</v>
      </c>
      <c r="J1097" t="str" cm="1">
        <f t="array" ref="J1097">_xlfn.IFS(
AND(I1097&gt;=89,I1097&lt;=92),"D-90",
AND(I1097&gt;=58,I1097&lt;=62),"D-60",
AND(I1097&gt;=28,I1097&lt;=32),"D-30",
AND(I1097=0),"당월",
TRUE,"그외")</f>
        <v>D-60</v>
      </c>
    </row>
    <row r="1098" spans="1:10" ht="17.649999999999999" customHeight="1" x14ac:dyDescent="0.3">
      <c r="A1098" s="4">
        <v>46204</v>
      </c>
      <c r="B1098" s="5" t="s">
        <v>13</v>
      </c>
      <c r="C1098" s="4">
        <v>46143</v>
      </c>
      <c r="D1098" s="5" t="s">
        <v>10</v>
      </c>
      <c r="E1098" s="6">
        <v>234</v>
      </c>
      <c r="F1098" s="6">
        <v>259091.50427350431</v>
      </c>
      <c r="G1098" s="6">
        <v>60627412</v>
      </c>
      <c r="H1098" s="6">
        <v>32572129</v>
      </c>
      <c r="I1098" s="6">
        <f t="shared" si="17"/>
        <v>61</v>
      </c>
      <c r="J1098" t="str" cm="1">
        <f t="array" ref="J1098">_xlfn.IFS(
AND(I1098&gt;=89,I1098&lt;=92),"D-90",
AND(I1098&gt;=58,I1098&lt;=62),"D-60",
AND(I1098&gt;=28,I1098&lt;=32),"D-30",
AND(I1098=0),"당월",
TRUE,"그외")</f>
        <v>D-60</v>
      </c>
    </row>
    <row r="1099" spans="1:10" ht="17.649999999999999" customHeight="1" x14ac:dyDescent="0.3">
      <c r="A1099" s="4">
        <v>46204</v>
      </c>
      <c r="B1099" s="5" t="s">
        <v>13</v>
      </c>
      <c r="C1099" s="4">
        <v>46174</v>
      </c>
      <c r="D1099" s="5" t="s">
        <v>9</v>
      </c>
      <c r="E1099" s="6">
        <v>168</v>
      </c>
      <c r="F1099" s="6">
        <v>217819.0476190476</v>
      </c>
      <c r="G1099" s="6">
        <v>36593600</v>
      </c>
      <c r="H1099" s="6">
        <v>22629600</v>
      </c>
      <c r="I1099" s="6">
        <f t="shared" si="17"/>
        <v>30</v>
      </c>
      <c r="J1099" t="str" cm="1">
        <f t="array" ref="J1099">_xlfn.IFS(
AND(I1099&gt;=89,I1099&lt;=92),"D-90",
AND(I1099&gt;=58,I1099&lt;=62),"D-60",
AND(I1099&gt;=28,I1099&lt;=32),"D-30",
AND(I1099=0),"당월",
TRUE,"그외")</f>
        <v>D-30</v>
      </c>
    </row>
    <row r="1100" spans="1:10" ht="17.649999999999999" customHeight="1" x14ac:dyDescent="0.3">
      <c r="A1100" s="4">
        <v>46204</v>
      </c>
      <c r="B1100" s="5" t="s">
        <v>13</v>
      </c>
      <c r="C1100" s="4">
        <v>46174</v>
      </c>
      <c r="D1100" s="5" t="s">
        <v>10</v>
      </c>
      <c r="E1100" s="6">
        <v>1849</v>
      </c>
      <c r="F1100" s="6">
        <v>229814.9870200108</v>
      </c>
      <c r="G1100" s="6">
        <v>424927911</v>
      </c>
      <c r="H1100" s="6">
        <v>220756500</v>
      </c>
      <c r="I1100" s="6">
        <f t="shared" si="17"/>
        <v>30</v>
      </c>
      <c r="J1100" t="str" cm="1">
        <f t="array" ref="J1100">_xlfn.IFS(
AND(I1100&gt;=89,I1100&lt;=92),"D-90",
AND(I1100&gt;=58,I1100&lt;=62),"D-60",
AND(I1100&gt;=28,I1100&lt;=32),"D-30",
AND(I1100=0),"당월",
TRUE,"그외")</f>
        <v>D-30</v>
      </c>
    </row>
    <row r="1101" spans="1:10" ht="17.649999999999999" customHeight="1" x14ac:dyDescent="0.3">
      <c r="A1101" s="4">
        <v>46204</v>
      </c>
      <c r="B1101" s="5" t="s">
        <v>13</v>
      </c>
      <c r="C1101" s="4">
        <v>46204</v>
      </c>
      <c r="D1101" s="5" t="s">
        <v>9</v>
      </c>
      <c r="E1101" s="6">
        <v>254</v>
      </c>
      <c r="F1101" s="6">
        <v>214541.7322834646</v>
      </c>
      <c r="G1101" s="6">
        <v>54493600</v>
      </c>
      <c r="H1101" s="6">
        <v>24486600</v>
      </c>
      <c r="I1101" s="6">
        <f t="shared" si="17"/>
        <v>0</v>
      </c>
      <c r="J1101" t="str" cm="1">
        <f t="array" ref="J1101">_xlfn.IFS(
AND(I1101&gt;=89,I1101&lt;=92),"D-90",
AND(I1101&gt;=58,I1101&lt;=62),"D-60",
AND(I1101&gt;=28,I1101&lt;=32),"D-30",
AND(I1101=0),"당월",
TRUE,"그외")</f>
        <v>당월</v>
      </c>
    </row>
    <row r="1102" spans="1:10" ht="17.649999999999999" customHeight="1" x14ac:dyDescent="0.3">
      <c r="A1102" s="4">
        <v>46204</v>
      </c>
      <c r="B1102" s="5" t="s">
        <v>13</v>
      </c>
      <c r="C1102" s="4">
        <v>46204</v>
      </c>
      <c r="D1102" s="5" t="s">
        <v>10</v>
      </c>
      <c r="E1102" s="6">
        <v>1123</v>
      </c>
      <c r="F1102" s="6">
        <v>251512.43544078359</v>
      </c>
      <c r="G1102" s="6">
        <v>282448465</v>
      </c>
      <c r="H1102" s="6">
        <v>106686724</v>
      </c>
      <c r="I1102" s="6">
        <f t="shared" si="17"/>
        <v>0</v>
      </c>
      <c r="J1102" t="str" cm="1">
        <f t="array" ref="J1102">_xlfn.IFS(
AND(I1102&gt;=89,I1102&lt;=92),"D-90",
AND(I1102&gt;=58,I1102&lt;=62),"D-60",
AND(I1102&gt;=28,I1102&lt;=32),"D-30",
AND(I1102=0),"당월",
TRUE,"그외")</f>
        <v>당월</v>
      </c>
    </row>
    <row r="1103" spans="1:10" ht="17.649999999999999" customHeight="1" x14ac:dyDescent="0.3">
      <c r="A1103" s="4">
        <v>46235</v>
      </c>
      <c r="B1103" s="5" t="s">
        <v>8</v>
      </c>
      <c r="C1103" s="4">
        <v>45931</v>
      </c>
      <c r="D1103" s="5" t="s">
        <v>10</v>
      </c>
      <c r="E1103" s="6">
        <v>6</v>
      </c>
      <c r="F1103" s="6">
        <v>326400</v>
      </c>
      <c r="G1103" s="6">
        <v>1958400</v>
      </c>
      <c r="H1103" s="6">
        <v>158400</v>
      </c>
      <c r="I1103" s="6">
        <f t="shared" si="17"/>
        <v>304</v>
      </c>
      <c r="J1103" t="str" cm="1">
        <f t="array" ref="J1103">_xlfn.IFS(
AND(I1103&gt;=89,I1103&lt;=92),"D-90",
AND(I1103&gt;=58,I1103&lt;=62),"D-60",
AND(I1103&gt;=28,I1103&lt;=32),"D-30",
AND(I1103=0),"당월",
TRUE,"그외")</f>
        <v>그외</v>
      </c>
    </row>
    <row r="1104" spans="1:10" ht="17.649999999999999" customHeight="1" x14ac:dyDescent="0.3">
      <c r="A1104" s="4">
        <v>46235</v>
      </c>
      <c r="B1104" s="5" t="s">
        <v>8</v>
      </c>
      <c r="C1104" s="4">
        <v>45962</v>
      </c>
      <c r="D1104" s="5" t="s">
        <v>10</v>
      </c>
      <c r="E1104" s="6">
        <v>29</v>
      </c>
      <c r="F1104" s="6">
        <v>238044.8275862069</v>
      </c>
      <c r="G1104" s="6">
        <v>6903300</v>
      </c>
      <c r="H1104" s="6">
        <v>774300</v>
      </c>
      <c r="I1104" s="6">
        <f t="shared" si="17"/>
        <v>273</v>
      </c>
      <c r="J1104" t="str" cm="1">
        <f t="array" ref="J1104">_xlfn.IFS(
AND(I1104&gt;=89,I1104&lt;=92),"D-90",
AND(I1104&gt;=58,I1104&lt;=62),"D-60",
AND(I1104&gt;=28,I1104&lt;=32),"D-30",
AND(I1104=0),"당월",
TRUE,"그외")</f>
        <v>그외</v>
      </c>
    </row>
    <row r="1105" spans="1:10" ht="17.649999999999999" customHeight="1" x14ac:dyDescent="0.3">
      <c r="A1105" s="4">
        <v>46235</v>
      </c>
      <c r="B1105" s="5" t="s">
        <v>8</v>
      </c>
      <c r="C1105" s="4">
        <v>45992</v>
      </c>
      <c r="D1105" s="5" t="s">
        <v>10</v>
      </c>
      <c r="E1105" s="6">
        <v>168</v>
      </c>
      <c r="F1105" s="6">
        <v>273630.23809523811</v>
      </c>
      <c r="G1105" s="6">
        <v>45969880</v>
      </c>
      <c r="H1105" s="6">
        <v>5350868</v>
      </c>
      <c r="I1105" s="6">
        <f t="shared" si="17"/>
        <v>243</v>
      </c>
      <c r="J1105" t="str" cm="1">
        <f t="array" ref="J1105">_xlfn.IFS(
AND(I1105&gt;=89,I1105&lt;=92),"D-90",
AND(I1105&gt;=58,I1105&lt;=62),"D-60",
AND(I1105&gt;=28,I1105&lt;=32),"D-30",
AND(I1105=0),"당월",
TRUE,"그외")</f>
        <v>그외</v>
      </c>
    </row>
    <row r="1106" spans="1:10" ht="17.649999999999999" customHeight="1" x14ac:dyDescent="0.3">
      <c r="A1106" s="4">
        <v>46235</v>
      </c>
      <c r="B1106" s="5" t="s">
        <v>8</v>
      </c>
      <c r="C1106" s="4">
        <v>46023</v>
      </c>
      <c r="D1106" s="5" t="s">
        <v>10</v>
      </c>
      <c r="E1106" s="6">
        <v>283</v>
      </c>
      <c r="F1106" s="6">
        <v>273743.92226148408</v>
      </c>
      <c r="G1106" s="6">
        <v>77469530</v>
      </c>
      <c r="H1106" s="6">
        <v>9188520</v>
      </c>
      <c r="I1106" s="6">
        <f t="shared" si="17"/>
        <v>212</v>
      </c>
      <c r="J1106" t="str" cm="1">
        <f t="array" ref="J1106">_xlfn.IFS(
AND(I1106&gt;=89,I1106&lt;=92),"D-90",
AND(I1106&gt;=58,I1106&lt;=62),"D-60",
AND(I1106&gt;=28,I1106&lt;=32),"D-30",
AND(I1106=0),"당월",
TRUE,"그외")</f>
        <v>그외</v>
      </c>
    </row>
    <row r="1107" spans="1:10" ht="17.649999999999999" customHeight="1" x14ac:dyDescent="0.3">
      <c r="A1107" s="4">
        <v>46235</v>
      </c>
      <c r="B1107" s="5" t="s">
        <v>8</v>
      </c>
      <c r="C1107" s="4">
        <v>46054</v>
      </c>
      <c r="D1107" s="5" t="s">
        <v>10</v>
      </c>
      <c r="E1107" s="6">
        <v>450</v>
      </c>
      <c r="F1107" s="6">
        <v>257658.1244444444</v>
      </c>
      <c r="G1107" s="6">
        <v>115946156</v>
      </c>
      <c r="H1107" s="6">
        <v>9947000</v>
      </c>
      <c r="I1107" s="6">
        <f t="shared" si="17"/>
        <v>181</v>
      </c>
      <c r="J1107" t="str" cm="1">
        <f t="array" ref="J1107">_xlfn.IFS(
AND(I1107&gt;=89,I1107&lt;=92),"D-90",
AND(I1107&gt;=58,I1107&lt;=62),"D-60",
AND(I1107&gt;=28,I1107&lt;=32),"D-30",
AND(I1107=0),"당월",
TRUE,"그외")</f>
        <v>그외</v>
      </c>
    </row>
    <row r="1108" spans="1:10" ht="17.649999999999999" customHeight="1" x14ac:dyDescent="0.3">
      <c r="A1108" s="4">
        <v>46235</v>
      </c>
      <c r="B1108" s="5" t="s">
        <v>8</v>
      </c>
      <c r="C1108" s="4">
        <v>46082</v>
      </c>
      <c r="D1108" s="5" t="s">
        <v>9</v>
      </c>
      <c r="E1108" s="6">
        <v>358</v>
      </c>
      <c r="F1108" s="6">
        <v>229123.4636871508</v>
      </c>
      <c r="G1108" s="6">
        <v>82026200</v>
      </c>
      <c r="H1108" s="6">
        <v>9988200</v>
      </c>
      <c r="I1108" s="6">
        <f t="shared" si="17"/>
        <v>153</v>
      </c>
      <c r="J1108" t="str" cm="1">
        <f t="array" ref="J1108">_xlfn.IFS(
AND(I1108&gt;=89,I1108&lt;=92),"D-90",
AND(I1108&gt;=58,I1108&lt;=62),"D-60",
AND(I1108&gt;=28,I1108&lt;=32),"D-30",
AND(I1108=0),"당월",
TRUE,"그외")</f>
        <v>그외</v>
      </c>
    </row>
    <row r="1109" spans="1:10" ht="17.649999999999999" customHeight="1" x14ac:dyDescent="0.3">
      <c r="A1109" s="4">
        <v>46235</v>
      </c>
      <c r="B1109" s="5" t="s">
        <v>8</v>
      </c>
      <c r="C1109" s="4">
        <v>46082</v>
      </c>
      <c r="D1109" s="5" t="s">
        <v>10</v>
      </c>
      <c r="E1109" s="6">
        <v>1249</v>
      </c>
      <c r="F1109" s="6">
        <v>275184.28983186552</v>
      </c>
      <c r="G1109" s="6">
        <v>343705178</v>
      </c>
      <c r="H1109" s="6">
        <v>35030907</v>
      </c>
      <c r="I1109" s="6">
        <f t="shared" si="17"/>
        <v>153</v>
      </c>
      <c r="J1109" t="str" cm="1">
        <f t="array" ref="J1109">_xlfn.IFS(
AND(I1109&gt;=89,I1109&lt;=92),"D-90",
AND(I1109&gt;=58,I1109&lt;=62),"D-60",
AND(I1109&gt;=28,I1109&lt;=32),"D-30",
AND(I1109=0),"당월",
TRUE,"그외")</f>
        <v>그외</v>
      </c>
    </row>
    <row r="1110" spans="1:10" ht="17.649999999999999" customHeight="1" x14ac:dyDescent="0.3">
      <c r="A1110" s="4">
        <v>46235</v>
      </c>
      <c r="B1110" s="5" t="s">
        <v>8</v>
      </c>
      <c r="C1110" s="4">
        <v>46113</v>
      </c>
      <c r="D1110" s="5" t="s">
        <v>9</v>
      </c>
      <c r="E1110" s="6">
        <v>248</v>
      </c>
      <c r="F1110" s="6">
        <v>291412.09677419357</v>
      </c>
      <c r="G1110" s="6">
        <v>72270200</v>
      </c>
      <c r="H1110" s="6">
        <v>21799200</v>
      </c>
      <c r="I1110" s="6">
        <f t="shared" si="17"/>
        <v>122</v>
      </c>
      <c r="J1110" t="str" cm="1">
        <f t="array" ref="J1110">_xlfn.IFS(
AND(I1110&gt;=89,I1110&lt;=92),"D-90",
AND(I1110&gt;=58,I1110&lt;=62),"D-60",
AND(I1110&gt;=28,I1110&lt;=32),"D-30",
AND(I1110=0),"당월",
TRUE,"그외")</f>
        <v>그외</v>
      </c>
    </row>
    <row r="1111" spans="1:10" ht="17.649999999999999" customHeight="1" x14ac:dyDescent="0.3">
      <c r="A1111" s="4">
        <v>46235</v>
      </c>
      <c r="B1111" s="5" t="s">
        <v>8</v>
      </c>
      <c r="C1111" s="4">
        <v>46113</v>
      </c>
      <c r="D1111" s="5" t="s">
        <v>10</v>
      </c>
      <c r="E1111" s="6">
        <v>144</v>
      </c>
      <c r="F1111" s="6">
        <v>310834.84722222219</v>
      </c>
      <c r="G1111" s="6">
        <v>44760218</v>
      </c>
      <c r="H1111" s="6">
        <v>11494576</v>
      </c>
      <c r="I1111" s="6">
        <f t="shared" si="17"/>
        <v>122</v>
      </c>
      <c r="J1111" t="str" cm="1">
        <f t="array" ref="J1111">_xlfn.IFS(
AND(I1111&gt;=89,I1111&lt;=92),"D-90",
AND(I1111&gt;=58,I1111&lt;=62),"D-60",
AND(I1111&gt;=28,I1111&lt;=32),"D-30",
AND(I1111=0),"당월",
TRUE,"그외")</f>
        <v>그외</v>
      </c>
    </row>
    <row r="1112" spans="1:10" ht="17.649999999999999" customHeight="1" x14ac:dyDescent="0.3">
      <c r="A1112" s="4">
        <v>46235</v>
      </c>
      <c r="B1112" s="5" t="s">
        <v>8</v>
      </c>
      <c r="C1112" s="4">
        <v>46143</v>
      </c>
      <c r="D1112" s="5" t="s">
        <v>9</v>
      </c>
      <c r="E1112" s="6">
        <v>2</v>
      </c>
      <c r="F1112" s="6">
        <v>228900</v>
      </c>
      <c r="G1112" s="6">
        <v>457800</v>
      </c>
      <c r="H1112" s="6">
        <v>55800</v>
      </c>
      <c r="I1112" s="6">
        <f t="shared" si="17"/>
        <v>92</v>
      </c>
      <c r="J1112" t="str" cm="1">
        <f t="array" ref="J1112">_xlfn.IFS(
AND(I1112&gt;=89,I1112&lt;=92),"D-90",
AND(I1112&gt;=58,I1112&lt;=62),"D-60",
AND(I1112&gt;=28,I1112&lt;=32),"D-30",
AND(I1112=0),"당월",
TRUE,"그외")</f>
        <v>D-90</v>
      </c>
    </row>
    <row r="1113" spans="1:10" ht="17.649999999999999" customHeight="1" x14ac:dyDescent="0.3">
      <c r="A1113" s="4">
        <v>46235</v>
      </c>
      <c r="B1113" s="5" t="s">
        <v>8</v>
      </c>
      <c r="C1113" s="4">
        <v>46143</v>
      </c>
      <c r="D1113" s="5" t="s">
        <v>10</v>
      </c>
      <c r="E1113" s="6">
        <v>129</v>
      </c>
      <c r="F1113" s="6">
        <v>305888.82170542638</v>
      </c>
      <c r="G1113" s="6">
        <v>39459658</v>
      </c>
      <c r="H1113" s="6">
        <v>16752791</v>
      </c>
      <c r="I1113" s="6">
        <f t="shared" si="17"/>
        <v>92</v>
      </c>
      <c r="J1113" t="str" cm="1">
        <f t="array" ref="J1113">_xlfn.IFS(
AND(I1113&gt;=89,I1113&lt;=92),"D-90",
AND(I1113&gt;=58,I1113&lt;=62),"D-60",
AND(I1113&gt;=28,I1113&lt;=32),"D-30",
AND(I1113=0),"당월",
TRUE,"그외")</f>
        <v>D-90</v>
      </c>
    </row>
    <row r="1114" spans="1:10" ht="17.649999999999999" customHeight="1" x14ac:dyDescent="0.3">
      <c r="A1114" s="4">
        <v>46235</v>
      </c>
      <c r="B1114" s="5" t="s">
        <v>8</v>
      </c>
      <c r="C1114" s="4">
        <v>46174</v>
      </c>
      <c r="D1114" s="5" t="s">
        <v>9</v>
      </c>
      <c r="E1114" s="6">
        <v>108</v>
      </c>
      <c r="F1114" s="6">
        <v>264016.66666666669</v>
      </c>
      <c r="G1114" s="6">
        <v>28513800</v>
      </c>
      <c r="H1114" s="6">
        <v>13798800</v>
      </c>
      <c r="I1114" s="6">
        <f t="shared" si="17"/>
        <v>61</v>
      </c>
      <c r="J1114" t="str" cm="1">
        <f t="array" ref="J1114">_xlfn.IFS(
AND(I1114&gt;=89,I1114&lt;=92),"D-90",
AND(I1114&gt;=58,I1114&lt;=62),"D-60",
AND(I1114&gt;=28,I1114&lt;=32),"D-30",
AND(I1114=0),"당월",
TRUE,"그외")</f>
        <v>D-60</v>
      </c>
    </row>
    <row r="1115" spans="1:10" ht="17.649999999999999" customHeight="1" x14ac:dyDescent="0.3">
      <c r="A1115" s="4">
        <v>46235</v>
      </c>
      <c r="B1115" s="5" t="s">
        <v>8</v>
      </c>
      <c r="C1115" s="4">
        <v>46174</v>
      </c>
      <c r="D1115" s="5" t="s">
        <v>10</v>
      </c>
      <c r="E1115" s="6">
        <v>1466</v>
      </c>
      <c r="F1115" s="6">
        <v>271813.67394270131</v>
      </c>
      <c r="G1115" s="6">
        <v>398478846</v>
      </c>
      <c r="H1115" s="6">
        <v>174029325</v>
      </c>
      <c r="I1115" s="6">
        <f t="shared" si="17"/>
        <v>61</v>
      </c>
      <c r="J1115" t="str" cm="1">
        <f t="array" ref="J1115">_xlfn.IFS(
AND(I1115&gt;=89,I1115&lt;=92),"D-90",
AND(I1115&gt;=58,I1115&lt;=62),"D-60",
AND(I1115&gt;=28,I1115&lt;=32),"D-30",
AND(I1115=0),"당월",
TRUE,"그외")</f>
        <v>D-60</v>
      </c>
    </row>
    <row r="1116" spans="1:10" ht="17.649999999999999" customHeight="1" x14ac:dyDescent="0.3">
      <c r="A1116" s="4">
        <v>46235</v>
      </c>
      <c r="B1116" s="5" t="s">
        <v>8</v>
      </c>
      <c r="C1116" s="4">
        <v>46204</v>
      </c>
      <c r="D1116" s="5" t="s">
        <v>9</v>
      </c>
      <c r="E1116" s="6">
        <v>2032</v>
      </c>
      <c r="F1116" s="6">
        <v>176332.4311023622</v>
      </c>
      <c r="G1116" s="6">
        <v>358307500</v>
      </c>
      <c r="H1116" s="6">
        <v>196729500</v>
      </c>
      <c r="I1116" s="6">
        <f t="shared" si="17"/>
        <v>31</v>
      </c>
      <c r="J1116" t="str" cm="1">
        <f t="array" ref="J1116">_xlfn.IFS(
AND(I1116&gt;=89,I1116&lt;=92),"D-90",
AND(I1116&gt;=58,I1116&lt;=62),"D-60",
AND(I1116&gt;=28,I1116&lt;=32),"D-30",
AND(I1116=0),"당월",
TRUE,"그외")</f>
        <v>D-30</v>
      </c>
    </row>
    <row r="1117" spans="1:10" ht="17.649999999999999" customHeight="1" x14ac:dyDescent="0.3">
      <c r="A1117" s="4">
        <v>46235</v>
      </c>
      <c r="B1117" s="5" t="s">
        <v>8</v>
      </c>
      <c r="C1117" s="4">
        <v>46204</v>
      </c>
      <c r="D1117" s="5" t="s">
        <v>10</v>
      </c>
      <c r="E1117" s="6">
        <v>2954</v>
      </c>
      <c r="F1117" s="6">
        <v>276782.53385240352</v>
      </c>
      <c r="G1117" s="6">
        <v>817615605</v>
      </c>
      <c r="H1117" s="6">
        <v>274661771</v>
      </c>
      <c r="I1117" s="6">
        <f t="shared" si="17"/>
        <v>31</v>
      </c>
      <c r="J1117" t="str" cm="1">
        <f t="array" ref="J1117">_xlfn.IFS(
AND(I1117&gt;=89,I1117&lt;=92),"D-90",
AND(I1117&gt;=58,I1117&lt;=62),"D-60",
AND(I1117&gt;=28,I1117&lt;=32),"D-30",
AND(I1117=0),"당월",
TRUE,"그외")</f>
        <v>D-30</v>
      </c>
    </row>
    <row r="1118" spans="1:10" ht="17.649999999999999" customHeight="1" x14ac:dyDescent="0.3">
      <c r="A1118" s="4">
        <v>46235</v>
      </c>
      <c r="B1118" s="5" t="s">
        <v>8</v>
      </c>
      <c r="C1118" s="4">
        <v>46235</v>
      </c>
      <c r="D1118" s="5" t="s">
        <v>9</v>
      </c>
      <c r="E1118" s="6">
        <v>547</v>
      </c>
      <c r="F1118" s="6">
        <v>130711.8829981718</v>
      </c>
      <c r="G1118" s="6">
        <v>71499400</v>
      </c>
      <c r="H1118" s="6">
        <v>38399400</v>
      </c>
      <c r="I1118" s="6">
        <f t="shared" si="17"/>
        <v>0</v>
      </c>
      <c r="J1118" t="str" cm="1">
        <f t="array" ref="J1118">_xlfn.IFS(
AND(I1118&gt;=89,I1118&lt;=92),"D-90",
AND(I1118&gt;=58,I1118&lt;=62),"D-60",
AND(I1118&gt;=28,I1118&lt;=32),"D-30",
AND(I1118=0),"당월",
TRUE,"그외")</f>
        <v>당월</v>
      </c>
    </row>
    <row r="1119" spans="1:10" ht="17.649999999999999" customHeight="1" x14ac:dyDescent="0.3">
      <c r="A1119" s="4">
        <v>46235</v>
      </c>
      <c r="B1119" s="5" t="s">
        <v>8</v>
      </c>
      <c r="C1119" s="4">
        <v>46235</v>
      </c>
      <c r="D1119" s="5" t="s">
        <v>10</v>
      </c>
      <c r="E1119" s="6">
        <v>454</v>
      </c>
      <c r="F1119" s="6">
        <v>230600.51982378849</v>
      </c>
      <c r="G1119" s="6">
        <v>104692636</v>
      </c>
      <c r="H1119" s="6">
        <v>30343197</v>
      </c>
      <c r="I1119" s="6">
        <f t="shared" si="17"/>
        <v>0</v>
      </c>
      <c r="J1119" t="str" cm="1">
        <f t="array" ref="J1119">_xlfn.IFS(
AND(I1119&gt;=89,I1119&lt;=92),"D-90",
AND(I1119&gt;=58,I1119&lt;=62),"D-60",
AND(I1119&gt;=28,I1119&lt;=32),"D-30",
AND(I1119=0),"당월",
TRUE,"그외")</f>
        <v>당월</v>
      </c>
    </row>
    <row r="1120" spans="1:10" ht="17.649999999999999" customHeight="1" x14ac:dyDescent="0.3">
      <c r="A1120" s="4">
        <v>46235</v>
      </c>
      <c r="B1120" s="5" t="s">
        <v>11</v>
      </c>
      <c r="C1120" s="4">
        <v>46023</v>
      </c>
      <c r="D1120" s="5" t="s">
        <v>10</v>
      </c>
      <c r="E1120" s="6">
        <v>10</v>
      </c>
      <c r="F1120" s="6">
        <v>179300</v>
      </c>
      <c r="G1120" s="6">
        <v>1793000</v>
      </c>
      <c r="H1120" s="6">
        <v>323000</v>
      </c>
      <c r="I1120" s="6">
        <f t="shared" si="17"/>
        <v>212</v>
      </c>
      <c r="J1120" t="str" cm="1">
        <f t="array" ref="J1120">_xlfn.IFS(
AND(I1120&gt;=89,I1120&lt;=92),"D-90",
AND(I1120&gt;=58,I1120&lt;=62),"D-60",
AND(I1120&gt;=28,I1120&lt;=32),"D-30",
AND(I1120=0),"당월",
TRUE,"그외")</f>
        <v>그외</v>
      </c>
    </row>
    <row r="1121" spans="1:10" ht="17.649999999999999" customHeight="1" x14ac:dyDescent="0.3">
      <c r="A1121" s="4">
        <v>46235</v>
      </c>
      <c r="B1121" s="5" t="s">
        <v>11</v>
      </c>
      <c r="C1121" s="4">
        <v>46054</v>
      </c>
      <c r="D1121" s="5" t="s">
        <v>10</v>
      </c>
      <c r="E1121" s="6">
        <v>39</v>
      </c>
      <c r="F1121" s="6">
        <v>268858.71794871788</v>
      </c>
      <c r="G1121" s="6">
        <v>10485490</v>
      </c>
      <c r="H1121" s="6">
        <v>858000</v>
      </c>
      <c r="I1121" s="6">
        <f t="shared" si="17"/>
        <v>181</v>
      </c>
      <c r="J1121" t="str" cm="1">
        <f t="array" ref="J1121">_xlfn.IFS(
AND(I1121&gt;=89,I1121&lt;=92),"D-90",
AND(I1121&gt;=58,I1121&lt;=62),"D-60",
AND(I1121&gt;=28,I1121&lt;=32),"D-30",
AND(I1121=0),"당월",
TRUE,"그외")</f>
        <v>그외</v>
      </c>
    </row>
    <row r="1122" spans="1:10" ht="17.649999999999999" customHeight="1" x14ac:dyDescent="0.3">
      <c r="A1122" s="4">
        <v>46235</v>
      </c>
      <c r="B1122" s="5" t="s">
        <v>11</v>
      </c>
      <c r="C1122" s="4">
        <v>46082</v>
      </c>
      <c r="D1122" s="5" t="s">
        <v>9</v>
      </c>
      <c r="E1122" s="6">
        <v>211</v>
      </c>
      <c r="F1122" s="6">
        <v>265397.63033175358</v>
      </c>
      <c r="G1122" s="6">
        <v>55998900</v>
      </c>
      <c r="H1122" s="6">
        <v>5886900</v>
      </c>
      <c r="I1122" s="6">
        <f t="shared" si="17"/>
        <v>153</v>
      </c>
      <c r="J1122" t="str" cm="1">
        <f t="array" ref="J1122">_xlfn.IFS(
AND(I1122&gt;=89,I1122&lt;=92),"D-90",
AND(I1122&gt;=58,I1122&lt;=62),"D-60",
AND(I1122&gt;=28,I1122&lt;=32),"D-30",
AND(I1122=0),"당월",
TRUE,"그외")</f>
        <v>그외</v>
      </c>
    </row>
    <row r="1123" spans="1:10" ht="17.649999999999999" customHeight="1" x14ac:dyDescent="0.3">
      <c r="A1123" s="4">
        <v>46235</v>
      </c>
      <c r="B1123" s="5" t="s">
        <v>11</v>
      </c>
      <c r="C1123" s="4">
        <v>46082</v>
      </c>
      <c r="D1123" s="5" t="s">
        <v>10</v>
      </c>
      <c r="E1123" s="6">
        <v>882</v>
      </c>
      <c r="F1123" s="6">
        <v>292775.72562358278</v>
      </c>
      <c r="G1123" s="6">
        <v>258228190</v>
      </c>
      <c r="H1123" s="6">
        <v>24584200</v>
      </c>
      <c r="I1123" s="6">
        <f t="shared" si="17"/>
        <v>153</v>
      </c>
      <c r="J1123" t="str" cm="1">
        <f t="array" ref="J1123">_xlfn.IFS(
AND(I1123&gt;=89,I1123&lt;=92),"D-90",
AND(I1123&gt;=58,I1123&lt;=62),"D-60",
AND(I1123&gt;=28,I1123&lt;=32),"D-30",
AND(I1123=0),"당월",
TRUE,"그외")</f>
        <v>그외</v>
      </c>
    </row>
    <row r="1124" spans="1:10" ht="17.649999999999999" customHeight="1" x14ac:dyDescent="0.3">
      <c r="A1124" s="4">
        <v>46235</v>
      </c>
      <c r="B1124" s="5" t="s">
        <v>11</v>
      </c>
      <c r="C1124" s="4">
        <v>46113</v>
      </c>
      <c r="D1124" s="5" t="s">
        <v>9</v>
      </c>
      <c r="E1124" s="6">
        <v>138</v>
      </c>
      <c r="F1124" s="6">
        <v>315450.72463768121</v>
      </c>
      <c r="G1124" s="6">
        <v>43532200</v>
      </c>
      <c r="H1124" s="6">
        <v>12010200</v>
      </c>
      <c r="I1124" s="6">
        <f t="shared" si="17"/>
        <v>122</v>
      </c>
      <c r="J1124" t="str" cm="1">
        <f t="array" ref="J1124">_xlfn.IFS(
AND(I1124&gt;=89,I1124&lt;=92),"D-90",
AND(I1124&gt;=58,I1124&lt;=62),"D-60",
AND(I1124&gt;=28,I1124&lt;=32),"D-30",
AND(I1124=0),"당월",
TRUE,"그외")</f>
        <v>그외</v>
      </c>
    </row>
    <row r="1125" spans="1:10" ht="17.649999999999999" customHeight="1" x14ac:dyDescent="0.3">
      <c r="A1125" s="4">
        <v>46235</v>
      </c>
      <c r="B1125" s="5" t="s">
        <v>11</v>
      </c>
      <c r="C1125" s="4">
        <v>46113</v>
      </c>
      <c r="D1125" s="5" t="s">
        <v>10</v>
      </c>
      <c r="E1125" s="6">
        <v>41</v>
      </c>
      <c r="F1125" s="6">
        <v>321757.31707317068</v>
      </c>
      <c r="G1125" s="6">
        <v>13192050</v>
      </c>
      <c r="H1125" s="6">
        <v>3381500</v>
      </c>
      <c r="I1125" s="6">
        <f t="shared" si="17"/>
        <v>122</v>
      </c>
      <c r="J1125" t="str" cm="1">
        <f t="array" ref="J1125">_xlfn.IFS(
AND(I1125&gt;=89,I1125&lt;=92),"D-90",
AND(I1125&gt;=58,I1125&lt;=62),"D-60",
AND(I1125&gt;=28,I1125&lt;=32),"D-30",
AND(I1125=0),"당월",
TRUE,"그외")</f>
        <v>그외</v>
      </c>
    </row>
    <row r="1126" spans="1:10" ht="17.649999999999999" customHeight="1" x14ac:dyDescent="0.3">
      <c r="A1126" s="4">
        <v>46235</v>
      </c>
      <c r="B1126" s="5" t="s">
        <v>11</v>
      </c>
      <c r="C1126" s="4">
        <v>46143</v>
      </c>
      <c r="D1126" s="5" t="s">
        <v>10</v>
      </c>
      <c r="E1126" s="6">
        <v>106</v>
      </c>
      <c r="F1126" s="6">
        <v>359162.00943396229</v>
      </c>
      <c r="G1126" s="6">
        <v>38071173</v>
      </c>
      <c r="H1126" s="6">
        <v>15661836</v>
      </c>
      <c r="I1126" s="6">
        <f t="shared" si="17"/>
        <v>92</v>
      </c>
      <c r="J1126" t="str" cm="1">
        <f t="array" ref="J1126">_xlfn.IFS(
AND(I1126&gt;=89,I1126&lt;=92),"D-90",
AND(I1126&gt;=58,I1126&lt;=62),"D-60",
AND(I1126&gt;=28,I1126&lt;=32),"D-30",
AND(I1126=0),"당월",
TRUE,"그외")</f>
        <v>D-90</v>
      </c>
    </row>
    <row r="1127" spans="1:10" ht="17.649999999999999" customHeight="1" x14ac:dyDescent="0.3">
      <c r="A1127" s="4">
        <v>46235</v>
      </c>
      <c r="B1127" s="5" t="s">
        <v>11</v>
      </c>
      <c r="C1127" s="4">
        <v>46174</v>
      </c>
      <c r="D1127" s="5" t="s">
        <v>9</v>
      </c>
      <c r="E1127" s="6">
        <v>74</v>
      </c>
      <c r="F1127" s="6">
        <v>245821.6216216216</v>
      </c>
      <c r="G1127" s="6">
        <v>18190800</v>
      </c>
      <c r="H1127" s="6">
        <v>9967800</v>
      </c>
      <c r="I1127" s="6">
        <f t="shared" si="17"/>
        <v>61</v>
      </c>
      <c r="J1127" t="str" cm="1">
        <f t="array" ref="J1127">_xlfn.IFS(
AND(I1127&gt;=89,I1127&lt;=92),"D-90",
AND(I1127&gt;=58,I1127&lt;=62),"D-60",
AND(I1127&gt;=28,I1127&lt;=32),"D-30",
AND(I1127=0),"당월",
TRUE,"그외")</f>
        <v>D-60</v>
      </c>
    </row>
    <row r="1128" spans="1:10" ht="17.649999999999999" customHeight="1" x14ac:dyDescent="0.3">
      <c r="A1128" s="4">
        <v>46235</v>
      </c>
      <c r="B1128" s="5" t="s">
        <v>11</v>
      </c>
      <c r="C1128" s="4">
        <v>46174</v>
      </c>
      <c r="D1128" s="5" t="s">
        <v>10</v>
      </c>
      <c r="E1128" s="6">
        <v>1338</v>
      </c>
      <c r="F1128" s="6">
        <v>289664.18086696562</v>
      </c>
      <c r="G1128" s="6">
        <v>387570674</v>
      </c>
      <c r="H1128" s="6">
        <v>172325208</v>
      </c>
      <c r="I1128" s="6">
        <f t="shared" si="17"/>
        <v>61</v>
      </c>
      <c r="J1128" t="str" cm="1">
        <f t="array" ref="J1128">_xlfn.IFS(
AND(I1128&gt;=89,I1128&lt;=92),"D-90",
AND(I1128&gt;=58,I1128&lt;=62),"D-60",
AND(I1128&gt;=28,I1128&lt;=32),"D-30",
AND(I1128=0),"당월",
TRUE,"그외")</f>
        <v>D-60</v>
      </c>
    </row>
    <row r="1129" spans="1:10" ht="17.649999999999999" customHeight="1" x14ac:dyDescent="0.3">
      <c r="A1129" s="4">
        <v>46235</v>
      </c>
      <c r="B1129" s="5" t="s">
        <v>11</v>
      </c>
      <c r="C1129" s="4">
        <v>46204</v>
      </c>
      <c r="D1129" s="5" t="s">
        <v>9</v>
      </c>
      <c r="E1129" s="6">
        <v>1787</v>
      </c>
      <c r="F1129" s="6">
        <v>220313.31841074431</v>
      </c>
      <c r="G1129" s="6">
        <v>393699900</v>
      </c>
      <c r="H1129" s="6">
        <v>173733900</v>
      </c>
      <c r="I1129" s="6">
        <f t="shared" si="17"/>
        <v>31</v>
      </c>
      <c r="J1129" t="str" cm="1">
        <f t="array" ref="J1129">_xlfn.IFS(
AND(I1129&gt;=89,I1129&lt;=92),"D-90",
AND(I1129&gt;=58,I1129&lt;=62),"D-60",
AND(I1129&gt;=28,I1129&lt;=32),"D-30",
AND(I1129=0),"당월",
TRUE,"그외")</f>
        <v>D-30</v>
      </c>
    </row>
    <row r="1130" spans="1:10" ht="17.649999999999999" customHeight="1" x14ac:dyDescent="0.3">
      <c r="A1130" s="4">
        <v>46235</v>
      </c>
      <c r="B1130" s="5" t="s">
        <v>11</v>
      </c>
      <c r="C1130" s="4">
        <v>46204</v>
      </c>
      <c r="D1130" s="5" t="s">
        <v>10</v>
      </c>
      <c r="E1130" s="6">
        <v>2344</v>
      </c>
      <c r="F1130" s="6">
        <v>289868.75255972688</v>
      </c>
      <c r="G1130" s="6">
        <v>679452356</v>
      </c>
      <c r="H1130" s="6">
        <v>221829912</v>
      </c>
      <c r="I1130" s="6">
        <f t="shared" si="17"/>
        <v>31</v>
      </c>
      <c r="J1130" t="str" cm="1">
        <f t="array" ref="J1130">_xlfn.IFS(
AND(I1130&gt;=89,I1130&lt;=92),"D-90",
AND(I1130&gt;=58,I1130&lt;=62),"D-60",
AND(I1130&gt;=28,I1130&lt;=32),"D-30",
AND(I1130=0),"당월",
TRUE,"그외")</f>
        <v>D-30</v>
      </c>
    </row>
    <row r="1131" spans="1:10" ht="17.649999999999999" customHeight="1" x14ac:dyDescent="0.3">
      <c r="A1131" s="4">
        <v>46235</v>
      </c>
      <c r="B1131" s="5" t="s">
        <v>11</v>
      </c>
      <c r="C1131" s="4">
        <v>46235</v>
      </c>
      <c r="D1131" s="5" t="s">
        <v>9</v>
      </c>
      <c r="E1131" s="6">
        <v>254</v>
      </c>
      <c r="F1131" s="6">
        <v>129439.3700787402</v>
      </c>
      <c r="G1131" s="6">
        <v>32877600</v>
      </c>
      <c r="H1131" s="6">
        <v>16761600</v>
      </c>
      <c r="I1131" s="6">
        <f t="shared" si="17"/>
        <v>0</v>
      </c>
      <c r="J1131" t="str" cm="1">
        <f t="array" ref="J1131">_xlfn.IFS(
AND(I1131&gt;=89,I1131&lt;=92),"D-90",
AND(I1131&gt;=58,I1131&lt;=62),"D-60",
AND(I1131&gt;=28,I1131&lt;=32),"D-30",
AND(I1131=0),"당월",
TRUE,"그외")</f>
        <v>당월</v>
      </c>
    </row>
    <row r="1132" spans="1:10" ht="17.649999999999999" customHeight="1" x14ac:dyDescent="0.3">
      <c r="A1132" s="4">
        <v>46235</v>
      </c>
      <c r="B1132" s="5" t="s">
        <v>11</v>
      </c>
      <c r="C1132" s="4">
        <v>46235</v>
      </c>
      <c r="D1132" s="5" t="s">
        <v>10</v>
      </c>
      <c r="E1132" s="6">
        <v>229</v>
      </c>
      <c r="F1132" s="6">
        <v>243148.10043668121</v>
      </c>
      <c r="G1132" s="6">
        <v>55680915</v>
      </c>
      <c r="H1132" s="6">
        <v>15503165</v>
      </c>
      <c r="I1132" s="6">
        <f t="shared" si="17"/>
        <v>0</v>
      </c>
      <c r="J1132" t="str" cm="1">
        <f t="array" ref="J1132">_xlfn.IFS(
AND(I1132&gt;=89,I1132&lt;=92),"D-90",
AND(I1132&gt;=58,I1132&lt;=62),"D-60",
AND(I1132&gt;=28,I1132&lt;=32),"D-30",
AND(I1132=0),"당월",
TRUE,"그외")</f>
        <v>당월</v>
      </c>
    </row>
    <row r="1133" spans="1:10" ht="17.649999999999999" customHeight="1" x14ac:dyDescent="0.3">
      <c r="A1133" s="4">
        <v>46235</v>
      </c>
      <c r="B1133" s="5" t="s">
        <v>12</v>
      </c>
      <c r="C1133" s="4">
        <v>45992</v>
      </c>
      <c r="D1133" s="5" t="s">
        <v>10</v>
      </c>
      <c r="E1133" s="6">
        <v>13</v>
      </c>
      <c r="F1133" s="6">
        <v>331238.46153846162</v>
      </c>
      <c r="G1133" s="6">
        <v>4306100</v>
      </c>
      <c r="H1133" s="6">
        <v>412100</v>
      </c>
      <c r="I1133" s="6">
        <f t="shared" si="17"/>
        <v>243</v>
      </c>
      <c r="J1133" t="str" cm="1">
        <f t="array" ref="J1133">_xlfn.IFS(
AND(I1133&gt;=89,I1133&lt;=92),"D-90",
AND(I1133&gt;=58,I1133&lt;=62),"D-60",
AND(I1133&gt;=28,I1133&lt;=32),"D-30",
AND(I1133=0),"당월",
TRUE,"그외")</f>
        <v>그외</v>
      </c>
    </row>
    <row r="1134" spans="1:10" ht="17.649999999999999" customHeight="1" x14ac:dyDescent="0.3">
      <c r="A1134" s="4">
        <v>46235</v>
      </c>
      <c r="B1134" s="5" t="s">
        <v>12</v>
      </c>
      <c r="C1134" s="4">
        <v>46023</v>
      </c>
      <c r="D1134" s="5" t="s">
        <v>10</v>
      </c>
      <c r="E1134" s="6">
        <v>220</v>
      </c>
      <c r="F1134" s="6">
        <v>289140.36363636359</v>
      </c>
      <c r="G1134" s="6">
        <v>63610880</v>
      </c>
      <c r="H1134" s="6">
        <v>7106000</v>
      </c>
      <c r="I1134" s="6">
        <f t="shared" si="17"/>
        <v>212</v>
      </c>
      <c r="J1134" t="str" cm="1">
        <f t="array" ref="J1134">_xlfn.IFS(
AND(I1134&gt;=89,I1134&lt;=92),"D-90",
AND(I1134&gt;=58,I1134&lt;=62),"D-60",
AND(I1134&gt;=28,I1134&lt;=32),"D-30",
AND(I1134=0),"당월",
TRUE,"그외")</f>
        <v>그외</v>
      </c>
    </row>
    <row r="1135" spans="1:10" ht="17.649999999999999" customHeight="1" x14ac:dyDescent="0.3">
      <c r="A1135" s="4">
        <v>46235</v>
      </c>
      <c r="B1135" s="5" t="s">
        <v>12</v>
      </c>
      <c r="C1135" s="4">
        <v>46054</v>
      </c>
      <c r="D1135" s="5" t="s">
        <v>10</v>
      </c>
      <c r="E1135" s="6">
        <v>217</v>
      </c>
      <c r="F1135" s="6">
        <v>306485.57603686629</v>
      </c>
      <c r="G1135" s="6">
        <v>66507370</v>
      </c>
      <c r="H1135" s="6">
        <v>4774000</v>
      </c>
      <c r="I1135" s="6">
        <f t="shared" si="17"/>
        <v>181</v>
      </c>
      <c r="J1135" t="str" cm="1">
        <f t="array" ref="J1135">_xlfn.IFS(
AND(I1135&gt;=89,I1135&lt;=92),"D-90",
AND(I1135&gt;=58,I1135&lt;=62),"D-60",
AND(I1135&gt;=28,I1135&lt;=32),"D-30",
AND(I1135=0),"당월",
TRUE,"그외")</f>
        <v>그외</v>
      </c>
    </row>
    <row r="1136" spans="1:10" ht="17.649999999999999" customHeight="1" x14ac:dyDescent="0.3">
      <c r="A1136" s="4">
        <v>46235</v>
      </c>
      <c r="B1136" s="5" t="s">
        <v>12</v>
      </c>
      <c r="C1136" s="4">
        <v>46082</v>
      </c>
      <c r="D1136" s="5" t="s">
        <v>9</v>
      </c>
      <c r="E1136" s="6">
        <v>10</v>
      </c>
      <c r="F1136" s="6">
        <v>287900</v>
      </c>
      <c r="G1136" s="6">
        <v>2879000</v>
      </c>
      <c r="H1136" s="6">
        <v>279000</v>
      </c>
      <c r="I1136" s="6">
        <f t="shared" si="17"/>
        <v>153</v>
      </c>
      <c r="J1136" t="str" cm="1">
        <f t="array" ref="J1136">_xlfn.IFS(
AND(I1136&gt;=89,I1136&lt;=92),"D-90",
AND(I1136&gt;=58,I1136&lt;=62),"D-60",
AND(I1136&gt;=28,I1136&lt;=32),"D-30",
AND(I1136=0),"당월",
TRUE,"그외")</f>
        <v>그외</v>
      </c>
    </row>
    <row r="1137" spans="1:10" ht="17.649999999999999" customHeight="1" x14ac:dyDescent="0.3">
      <c r="A1137" s="4">
        <v>46235</v>
      </c>
      <c r="B1137" s="5" t="s">
        <v>12</v>
      </c>
      <c r="C1137" s="4">
        <v>46082</v>
      </c>
      <c r="D1137" s="5" t="s">
        <v>10</v>
      </c>
      <c r="E1137" s="6">
        <v>655</v>
      </c>
      <c r="F1137" s="6">
        <v>283476.73282442748</v>
      </c>
      <c r="G1137" s="6">
        <v>185677260</v>
      </c>
      <c r="H1137" s="6">
        <v>18292100</v>
      </c>
      <c r="I1137" s="6">
        <f t="shared" si="17"/>
        <v>153</v>
      </c>
      <c r="J1137" t="str" cm="1">
        <f t="array" ref="J1137">_xlfn.IFS(
AND(I1137&gt;=89,I1137&lt;=92),"D-90",
AND(I1137&gt;=58,I1137&lt;=62),"D-60",
AND(I1137&gt;=28,I1137&lt;=32),"D-30",
AND(I1137=0),"당월",
TRUE,"그외")</f>
        <v>그외</v>
      </c>
    </row>
    <row r="1138" spans="1:10" ht="17.649999999999999" customHeight="1" x14ac:dyDescent="0.3">
      <c r="A1138" s="4">
        <v>46235</v>
      </c>
      <c r="B1138" s="5" t="s">
        <v>12</v>
      </c>
      <c r="C1138" s="4">
        <v>46113</v>
      </c>
      <c r="D1138" s="5" t="s">
        <v>9</v>
      </c>
      <c r="E1138" s="6">
        <v>52</v>
      </c>
      <c r="F1138" s="6">
        <v>319246.15384615387</v>
      </c>
      <c r="G1138" s="6">
        <v>16600800</v>
      </c>
      <c r="H1138" s="6">
        <v>4570800</v>
      </c>
      <c r="I1138" s="6">
        <f t="shared" si="17"/>
        <v>122</v>
      </c>
      <c r="J1138" t="str" cm="1">
        <f t="array" ref="J1138">_xlfn.IFS(
AND(I1138&gt;=89,I1138&lt;=92),"D-90",
AND(I1138&gt;=58,I1138&lt;=62),"D-60",
AND(I1138&gt;=28,I1138&lt;=32),"D-30",
AND(I1138=0),"당월",
TRUE,"그외")</f>
        <v>그외</v>
      </c>
    </row>
    <row r="1139" spans="1:10" ht="17.649999999999999" customHeight="1" x14ac:dyDescent="0.3">
      <c r="A1139" s="4">
        <v>46235</v>
      </c>
      <c r="B1139" s="5" t="s">
        <v>12</v>
      </c>
      <c r="C1139" s="4">
        <v>46113</v>
      </c>
      <c r="D1139" s="5" t="s">
        <v>10</v>
      </c>
      <c r="E1139" s="6">
        <v>358</v>
      </c>
      <c r="F1139" s="6">
        <v>312693.25698324031</v>
      </c>
      <c r="G1139" s="6">
        <v>111944186</v>
      </c>
      <c r="H1139" s="6">
        <v>29919116</v>
      </c>
      <c r="I1139" s="6">
        <f t="shared" si="17"/>
        <v>122</v>
      </c>
      <c r="J1139" t="str" cm="1">
        <f t="array" ref="J1139">_xlfn.IFS(
AND(I1139&gt;=89,I1139&lt;=92),"D-90",
AND(I1139&gt;=58,I1139&lt;=62),"D-60",
AND(I1139&gt;=28,I1139&lt;=32),"D-30",
AND(I1139=0),"당월",
TRUE,"그외")</f>
        <v>그외</v>
      </c>
    </row>
    <row r="1140" spans="1:10" ht="17.649999999999999" customHeight="1" x14ac:dyDescent="0.3">
      <c r="A1140" s="4">
        <v>46235</v>
      </c>
      <c r="B1140" s="5" t="s">
        <v>12</v>
      </c>
      <c r="C1140" s="4">
        <v>46143</v>
      </c>
      <c r="D1140" s="5" t="s">
        <v>10</v>
      </c>
      <c r="E1140" s="6">
        <v>442</v>
      </c>
      <c r="F1140" s="6">
        <v>308282.49773755658</v>
      </c>
      <c r="G1140" s="6">
        <v>136260864</v>
      </c>
      <c r="H1140" s="6">
        <v>68515870</v>
      </c>
      <c r="I1140" s="6">
        <f t="shared" si="17"/>
        <v>92</v>
      </c>
      <c r="J1140" t="str" cm="1">
        <f t="array" ref="J1140">_xlfn.IFS(
AND(I1140&gt;=89,I1140&lt;=92),"D-90",
AND(I1140&gt;=58,I1140&lt;=62),"D-60",
AND(I1140&gt;=28,I1140&lt;=32),"D-30",
AND(I1140=0),"당월",
TRUE,"그외")</f>
        <v>D-90</v>
      </c>
    </row>
    <row r="1141" spans="1:10" ht="17.649999999999999" customHeight="1" x14ac:dyDescent="0.3">
      <c r="A1141" s="4">
        <v>46235</v>
      </c>
      <c r="B1141" s="5" t="s">
        <v>12</v>
      </c>
      <c r="C1141" s="4">
        <v>46174</v>
      </c>
      <c r="D1141" s="5" t="s">
        <v>9</v>
      </c>
      <c r="E1141" s="6">
        <v>668</v>
      </c>
      <c r="F1141" s="6">
        <v>263059.28143712581</v>
      </c>
      <c r="G1141" s="6">
        <v>175723600</v>
      </c>
      <c r="H1141" s="6">
        <v>89979600</v>
      </c>
      <c r="I1141" s="6">
        <f t="shared" si="17"/>
        <v>61</v>
      </c>
      <c r="J1141" t="str" cm="1">
        <f t="array" ref="J1141">_xlfn.IFS(
AND(I1141&gt;=89,I1141&lt;=92),"D-90",
AND(I1141&gt;=58,I1141&lt;=62),"D-60",
AND(I1141&gt;=28,I1141&lt;=32),"D-30",
AND(I1141=0),"당월",
TRUE,"그외")</f>
        <v>D-60</v>
      </c>
    </row>
    <row r="1142" spans="1:10" ht="17.649999999999999" customHeight="1" x14ac:dyDescent="0.3">
      <c r="A1142" s="4">
        <v>46235</v>
      </c>
      <c r="B1142" s="5" t="s">
        <v>12</v>
      </c>
      <c r="C1142" s="4">
        <v>46174</v>
      </c>
      <c r="D1142" s="5" t="s">
        <v>10</v>
      </c>
      <c r="E1142" s="6">
        <v>1921</v>
      </c>
      <c r="F1142" s="6">
        <v>273081.02602811041</v>
      </c>
      <c r="G1142" s="6">
        <v>524588651</v>
      </c>
      <c r="H1142" s="6">
        <v>253596048</v>
      </c>
      <c r="I1142" s="6">
        <f t="shared" si="17"/>
        <v>61</v>
      </c>
      <c r="J1142" t="str" cm="1">
        <f t="array" ref="J1142">_xlfn.IFS(
AND(I1142&gt;=89,I1142&lt;=92),"D-90",
AND(I1142&gt;=58,I1142&lt;=62),"D-60",
AND(I1142&gt;=28,I1142&lt;=32),"D-30",
AND(I1142=0),"당월",
TRUE,"그외")</f>
        <v>D-60</v>
      </c>
    </row>
    <row r="1143" spans="1:10" ht="17.649999999999999" customHeight="1" x14ac:dyDescent="0.3">
      <c r="A1143" s="4">
        <v>46235</v>
      </c>
      <c r="B1143" s="5" t="s">
        <v>12</v>
      </c>
      <c r="C1143" s="4">
        <v>46204</v>
      </c>
      <c r="D1143" s="5" t="s">
        <v>9</v>
      </c>
      <c r="E1143" s="6">
        <v>708</v>
      </c>
      <c r="F1143" s="6">
        <v>242207.06214689271</v>
      </c>
      <c r="G1143" s="6">
        <v>171482600</v>
      </c>
      <c r="H1143" s="6">
        <v>68817600</v>
      </c>
      <c r="I1143" s="6">
        <f t="shared" si="17"/>
        <v>31</v>
      </c>
      <c r="J1143" t="str" cm="1">
        <f t="array" ref="J1143">_xlfn.IFS(
AND(I1143&gt;=89,I1143&lt;=92),"D-90",
AND(I1143&gt;=58,I1143&lt;=62),"D-60",
AND(I1143&gt;=28,I1143&lt;=32),"D-30",
AND(I1143=0),"당월",
TRUE,"그외")</f>
        <v>D-30</v>
      </c>
    </row>
    <row r="1144" spans="1:10" ht="17.649999999999999" customHeight="1" x14ac:dyDescent="0.3">
      <c r="A1144" s="4">
        <v>46235</v>
      </c>
      <c r="B1144" s="5" t="s">
        <v>12</v>
      </c>
      <c r="C1144" s="4">
        <v>46204</v>
      </c>
      <c r="D1144" s="5" t="s">
        <v>10</v>
      </c>
      <c r="E1144" s="6">
        <v>1995</v>
      </c>
      <c r="F1144" s="6">
        <v>285809.62305764412</v>
      </c>
      <c r="G1144" s="6">
        <v>570190198</v>
      </c>
      <c r="H1144" s="6">
        <v>190120602</v>
      </c>
      <c r="I1144" s="6">
        <f t="shared" si="17"/>
        <v>31</v>
      </c>
      <c r="J1144" t="str" cm="1">
        <f t="array" ref="J1144">_xlfn.IFS(
AND(I1144&gt;=89,I1144&lt;=92),"D-90",
AND(I1144&gt;=58,I1144&lt;=62),"D-60",
AND(I1144&gt;=28,I1144&lt;=32),"D-30",
AND(I1144=0),"당월",
TRUE,"그외")</f>
        <v>D-30</v>
      </c>
    </row>
    <row r="1145" spans="1:10" ht="17.649999999999999" customHeight="1" x14ac:dyDescent="0.3">
      <c r="A1145" s="4">
        <v>46235</v>
      </c>
      <c r="B1145" s="5" t="s">
        <v>12</v>
      </c>
      <c r="C1145" s="4">
        <v>46235</v>
      </c>
      <c r="D1145" s="5" t="s">
        <v>9</v>
      </c>
      <c r="E1145" s="6">
        <v>12</v>
      </c>
      <c r="F1145" s="6">
        <v>287200</v>
      </c>
      <c r="G1145" s="6">
        <v>3446400</v>
      </c>
      <c r="H1145" s="6">
        <v>842400</v>
      </c>
      <c r="I1145" s="6">
        <f t="shared" si="17"/>
        <v>0</v>
      </c>
      <c r="J1145" t="str" cm="1">
        <f t="array" ref="J1145">_xlfn.IFS(
AND(I1145&gt;=89,I1145&lt;=92),"D-90",
AND(I1145&gt;=58,I1145&lt;=62),"D-60",
AND(I1145&gt;=28,I1145&lt;=32),"D-30",
AND(I1145=0),"당월",
TRUE,"그외")</f>
        <v>당월</v>
      </c>
    </row>
    <row r="1146" spans="1:10" ht="17.649999999999999" customHeight="1" x14ac:dyDescent="0.3">
      <c r="A1146" s="4">
        <v>46235</v>
      </c>
      <c r="B1146" s="5" t="s">
        <v>12</v>
      </c>
      <c r="C1146" s="4">
        <v>46235</v>
      </c>
      <c r="D1146" s="5" t="s">
        <v>10</v>
      </c>
      <c r="E1146" s="6">
        <v>367</v>
      </c>
      <c r="F1146" s="6">
        <v>255376.970027248</v>
      </c>
      <c r="G1146" s="6">
        <v>93723348</v>
      </c>
      <c r="H1146" s="6">
        <v>27227276</v>
      </c>
      <c r="I1146" s="6">
        <f t="shared" si="17"/>
        <v>0</v>
      </c>
      <c r="J1146" t="str" cm="1">
        <f t="array" ref="J1146">_xlfn.IFS(
AND(I1146&gt;=89,I1146&lt;=92),"D-90",
AND(I1146&gt;=58,I1146&lt;=62),"D-60",
AND(I1146&gt;=28,I1146&lt;=32),"D-30",
AND(I1146=0),"당월",
TRUE,"그외")</f>
        <v>당월</v>
      </c>
    </row>
    <row r="1147" spans="1:10" ht="17.649999999999999" customHeight="1" x14ac:dyDescent="0.3">
      <c r="A1147" s="4">
        <v>46235</v>
      </c>
      <c r="B1147" s="5" t="s">
        <v>13</v>
      </c>
      <c r="C1147" s="4">
        <v>45962</v>
      </c>
      <c r="D1147" s="5" t="s">
        <v>10</v>
      </c>
      <c r="E1147" s="6">
        <v>20</v>
      </c>
      <c r="F1147" s="6">
        <v>260700</v>
      </c>
      <c r="G1147" s="6">
        <v>5214000</v>
      </c>
      <c r="H1147" s="6">
        <v>534000</v>
      </c>
      <c r="I1147" s="6">
        <f t="shared" si="17"/>
        <v>273</v>
      </c>
      <c r="J1147" t="str" cm="1">
        <f t="array" ref="J1147">_xlfn.IFS(
AND(I1147&gt;=89,I1147&lt;=92),"D-90",
AND(I1147&gt;=58,I1147&lt;=62),"D-60",
AND(I1147&gt;=28,I1147&lt;=32),"D-30",
AND(I1147=0),"당월",
TRUE,"그외")</f>
        <v>그외</v>
      </c>
    </row>
    <row r="1148" spans="1:10" ht="17.649999999999999" customHeight="1" x14ac:dyDescent="0.3">
      <c r="A1148" s="4">
        <v>46235</v>
      </c>
      <c r="B1148" s="5" t="s">
        <v>13</v>
      </c>
      <c r="C1148" s="4">
        <v>45992</v>
      </c>
      <c r="D1148" s="5" t="s">
        <v>10</v>
      </c>
      <c r="E1148" s="6">
        <v>22</v>
      </c>
      <c r="F1148" s="6">
        <v>268972.72727272729</v>
      </c>
      <c r="G1148" s="6">
        <v>5917400</v>
      </c>
      <c r="H1148" s="6">
        <v>697400</v>
      </c>
      <c r="I1148" s="6">
        <f t="shared" si="17"/>
        <v>243</v>
      </c>
      <c r="J1148" t="str" cm="1">
        <f t="array" ref="J1148">_xlfn.IFS(
AND(I1148&gt;=89,I1148&lt;=92),"D-90",
AND(I1148&gt;=58,I1148&lt;=62),"D-60",
AND(I1148&gt;=28,I1148&lt;=32),"D-30",
AND(I1148=0),"당월",
TRUE,"그외")</f>
        <v>그외</v>
      </c>
    </row>
    <row r="1149" spans="1:10" ht="17.649999999999999" customHeight="1" x14ac:dyDescent="0.3">
      <c r="A1149" s="4">
        <v>46235</v>
      </c>
      <c r="B1149" s="5" t="s">
        <v>13</v>
      </c>
      <c r="C1149" s="4">
        <v>46023</v>
      </c>
      <c r="D1149" s="5" t="s">
        <v>10</v>
      </c>
      <c r="E1149" s="6">
        <v>255</v>
      </c>
      <c r="F1149" s="6">
        <v>283590.98039215693</v>
      </c>
      <c r="G1149" s="6">
        <v>72315700</v>
      </c>
      <c r="H1149" s="6">
        <v>8236500</v>
      </c>
      <c r="I1149" s="6">
        <f t="shared" si="17"/>
        <v>212</v>
      </c>
      <c r="J1149" t="str" cm="1">
        <f t="array" ref="J1149">_xlfn.IFS(
AND(I1149&gt;=89,I1149&lt;=92),"D-90",
AND(I1149&gt;=58,I1149&lt;=62),"D-60",
AND(I1149&gt;=28,I1149&lt;=32),"D-30",
AND(I1149=0),"당월",
TRUE,"그외")</f>
        <v>그외</v>
      </c>
    </row>
    <row r="1150" spans="1:10" ht="17.649999999999999" customHeight="1" x14ac:dyDescent="0.3">
      <c r="A1150" s="4">
        <v>46235</v>
      </c>
      <c r="B1150" s="5" t="s">
        <v>13</v>
      </c>
      <c r="C1150" s="4">
        <v>46054</v>
      </c>
      <c r="D1150" s="5" t="s">
        <v>10</v>
      </c>
      <c r="E1150" s="6">
        <v>238</v>
      </c>
      <c r="F1150" s="6">
        <v>280337.98319327732</v>
      </c>
      <c r="G1150" s="6">
        <v>66720440</v>
      </c>
      <c r="H1150" s="6">
        <v>5324064</v>
      </c>
      <c r="I1150" s="6">
        <f t="shared" si="17"/>
        <v>181</v>
      </c>
      <c r="J1150" t="str" cm="1">
        <f t="array" ref="J1150">_xlfn.IFS(
AND(I1150&gt;=89,I1150&lt;=92),"D-90",
AND(I1150&gt;=58,I1150&lt;=62),"D-60",
AND(I1150&gt;=28,I1150&lt;=32),"D-30",
AND(I1150=0),"당월",
TRUE,"그외")</f>
        <v>그외</v>
      </c>
    </row>
    <row r="1151" spans="1:10" ht="17.649999999999999" customHeight="1" x14ac:dyDescent="0.3">
      <c r="A1151" s="4">
        <v>46235</v>
      </c>
      <c r="B1151" s="5" t="s">
        <v>13</v>
      </c>
      <c r="C1151" s="4">
        <v>46082</v>
      </c>
      <c r="D1151" s="5" t="s">
        <v>9</v>
      </c>
      <c r="E1151" s="6">
        <v>40</v>
      </c>
      <c r="F1151" s="6">
        <v>312500</v>
      </c>
      <c r="G1151" s="6">
        <v>12500000</v>
      </c>
      <c r="H1151" s="6">
        <v>1116000</v>
      </c>
      <c r="I1151" s="6">
        <f t="shared" si="17"/>
        <v>153</v>
      </c>
      <c r="J1151" t="str" cm="1">
        <f t="array" ref="J1151">_xlfn.IFS(
AND(I1151&gt;=89,I1151&lt;=92),"D-90",
AND(I1151&gt;=58,I1151&lt;=62),"D-60",
AND(I1151&gt;=28,I1151&lt;=32),"D-30",
AND(I1151=0),"당월",
TRUE,"그외")</f>
        <v>그외</v>
      </c>
    </row>
    <row r="1152" spans="1:10" ht="17.649999999999999" customHeight="1" x14ac:dyDescent="0.3">
      <c r="A1152" s="4">
        <v>46235</v>
      </c>
      <c r="B1152" s="5" t="s">
        <v>13</v>
      </c>
      <c r="C1152" s="4">
        <v>46082</v>
      </c>
      <c r="D1152" s="5" t="s">
        <v>10</v>
      </c>
      <c r="E1152" s="6">
        <v>651</v>
      </c>
      <c r="F1152" s="6">
        <v>273161.30261136708</v>
      </c>
      <c r="G1152" s="6">
        <v>177828008</v>
      </c>
      <c r="H1152" s="6">
        <v>18196470</v>
      </c>
      <c r="I1152" s="6">
        <f t="shared" si="17"/>
        <v>153</v>
      </c>
      <c r="J1152" t="str" cm="1">
        <f t="array" ref="J1152">_xlfn.IFS(
AND(I1152&gt;=89,I1152&lt;=92),"D-90",
AND(I1152&gt;=58,I1152&lt;=62),"D-60",
AND(I1152&gt;=28,I1152&lt;=32),"D-30",
AND(I1152=0),"당월",
TRUE,"그외")</f>
        <v>그외</v>
      </c>
    </row>
    <row r="1153" spans="1:10" ht="17.649999999999999" customHeight="1" x14ac:dyDescent="0.3">
      <c r="A1153" s="4">
        <v>46235</v>
      </c>
      <c r="B1153" s="5" t="s">
        <v>13</v>
      </c>
      <c r="C1153" s="4">
        <v>46113</v>
      </c>
      <c r="D1153" s="5" t="s">
        <v>9</v>
      </c>
      <c r="E1153" s="6">
        <v>78</v>
      </c>
      <c r="F1153" s="6">
        <v>196541.02564102571</v>
      </c>
      <c r="G1153" s="6">
        <v>15330200</v>
      </c>
      <c r="H1153" s="6">
        <v>3976200</v>
      </c>
      <c r="I1153" s="6">
        <f t="shared" si="17"/>
        <v>122</v>
      </c>
      <c r="J1153" t="str" cm="1">
        <f t="array" ref="J1153">_xlfn.IFS(
AND(I1153&gt;=89,I1153&lt;=92),"D-90",
AND(I1153&gt;=58,I1153&lt;=62),"D-60",
AND(I1153&gt;=28,I1153&lt;=32),"D-30",
AND(I1153=0),"당월",
TRUE,"그외")</f>
        <v>그외</v>
      </c>
    </row>
    <row r="1154" spans="1:10" ht="17.649999999999999" customHeight="1" x14ac:dyDescent="0.3">
      <c r="A1154" s="4">
        <v>46235</v>
      </c>
      <c r="B1154" s="5" t="s">
        <v>13</v>
      </c>
      <c r="C1154" s="4">
        <v>46113</v>
      </c>
      <c r="D1154" s="5" t="s">
        <v>10</v>
      </c>
      <c r="E1154" s="6">
        <v>99</v>
      </c>
      <c r="F1154" s="6">
        <v>279653.59595959599</v>
      </c>
      <c r="G1154" s="6">
        <v>27685706</v>
      </c>
      <c r="H1154" s="6">
        <v>7022100</v>
      </c>
      <c r="I1154" s="6">
        <f t="shared" si="17"/>
        <v>122</v>
      </c>
      <c r="J1154" t="str" cm="1">
        <f t="array" ref="J1154">_xlfn.IFS(
AND(I1154&gt;=89,I1154&lt;=92),"D-90",
AND(I1154&gt;=58,I1154&lt;=62),"D-60",
AND(I1154&gt;=28,I1154&lt;=32),"D-30",
AND(I1154=0),"당월",
TRUE,"그외")</f>
        <v>그외</v>
      </c>
    </row>
    <row r="1155" spans="1:10" ht="17.649999999999999" customHeight="1" x14ac:dyDescent="0.3">
      <c r="A1155" s="4">
        <v>46235</v>
      </c>
      <c r="B1155" s="5" t="s">
        <v>13</v>
      </c>
      <c r="C1155" s="4">
        <v>46143</v>
      </c>
      <c r="D1155" s="5" t="s">
        <v>9</v>
      </c>
      <c r="E1155" s="6">
        <v>14</v>
      </c>
      <c r="F1155" s="6">
        <v>310628.57142857142</v>
      </c>
      <c r="G1155" s="6">
        <v>4348800</v>
      </c>
      <c r="H1155" s="6">
        <v>2354800</v>
      </c>
      <c r="I1155" s="6">
        <f t="shared" ref="I1155:I1218" si="18">A1155-C1155</f>
        <v>92</v>
      </c>
      <c r="J1155" t="str" cm="1">
        <f t="array" ref="J1155">_xlfn.IFS(
AND(I1155&gt;=89,I1155&lt;=92),"D-90",
AND(I1155&gt;=58,I1155&lt;=62),"D-60",
AND(I1155&gt;=28,I1155&lt;=32),"D-30",
AND(I1155=0),"당월",
TRUE,"그외")</f>
        <v>D-90</v>
      </c>
    </row>
    <row r="1156" spans="1:10" ht="17.649999999999999" customHeight="1" x14ac:dyDescent="0.3">
      <c r="A1156" s="4">
        <v>46235</v>
      </c>
      <c r="B1156" s="5" t="s">
        <v>13</v>
      </c>
      <c r="C1156" s="4">
        <v>46143</v>
      </c>
      <c r="D1156" s="5" t="s">
        <v>10</v>
      </c>
      <c r="E1156" s="6">
        <v>63</v>
      </c>
      <c r="F1156" s="6">
        <v>380578.42857142858</v>
      </c>
      <c r="G1156" s="6">
        <v>23976441</v>
      </c>
      <c r="H1156" s="6">
        <v>9394981</v>
      </c>
      <c r="I1156" s="6">
        <f t="shared" si="18"/>
        <v>92</v>
      </c>
      <c r="J1156" t="str" cm="1">
        <f t="array" ref="J1156">_xlfn.IFS(
AND(I1156&gt;=89,I1156&lt;=92),"D-90",
AND(I1156&gt;=58,I1156&lt;=62),"D-60",
AND(I1156&gt;=28,I1156&lt;=32),"D-30",
AND(I1156=0),"당월",
TRUE,"그외")</f>
        <v>D-90</v>
      </c>
    </row>
    <row r="1157" spans="1:10" ht="17.649999999999999" customHeight="1" x14ac:dyDescent="0.3">
      <c r="A1157" s="4">
        <v>46235</v>
      </c>
      <c r="B1157" s="5" t="s">
        <v>13</v>
      </c>
      <c r="C1157" s="4">
        <v>46174</v>
      </c>
      <c r="D1157" s="5" t="s">
        <v>9</v>
      </c>
      <c r="E1157" s="6">
        <v>262</v>
      </c>
      <c r="F1157" s="6">
        <v>246532.06106870231</v>
      </c>
      <c r="G1157" s="6">
        <v>64591400</v>
      </c>
      <c r="H1157" s="6">
        <v>35291400</v>
      </c>
      <c r="I1157" s="6">
        <f t="shared" si="18"/>
        <v>61</v>
      </c>
      <c r="J1157" t="str" cm="1">
        <f t="array" ref="J1157">_xlfn.IFS(
AND(I1157&gt;=89,I1157&lt;=92),"D-90",
AND(I1157&gt;=58,I1157&lt;=62),"D-60",
AND(I1157&gt;=28,I1157&lt;=32),"D-30",
AND(I1157=0),"당월",
TRUE,"그외")</f>
        <v>D-60</v>
      </c>
    </row>
    <row r="1158" spans="1:10" ht="17.649999999999999" customHeight="1" x14ac:dyDescent="0.3">
      <c r="A1158" s="4">
        <v>46235</v>
      </c>
      <c r="B1158" s="5" t="s">
        <v>13</v>
      </c>
      <c r="C1158" s="4">
        <v>46174</v>
      </c>
      <c r="D1158" s="5" t="s">
        <v>10</v>
      </c>
      <c r="E1158" s="6">
        <v>1474</v>
      </c>
      <c r="F1158" s="6">
        <v>281632.34803256439</v>
      </c>
      <c r="G1158" s="6">
        <v>415126081</v>
      </c>
      <c r="H1158" s="6">
        <v>186162749</v>
      </c>
      <c r="I1158" s="6">
        <f t="shared" si="18"/>
        <v>61</v>
      </c>
      <c r="J1158" t="str" cm="1">
        <f t="array" ref="J1158">_xlfn.IFS(
AND(I1158&gt;=89,I1158&lt;=92),"D-90",
AND(I1158&gt;=58,I1158&lt;=62),"D-60",
AND(I1158&gt;=28,I1158&lt;=32),"D-30",
AND(I1158=0),"당월",
TRUE,"그외")</f>
        <v>D-60</v>
      </c>
    </row>
    <row r="1159" spans="1:10" ht="17.649999999999999" customHeight="1" x14ac:dyDescent="0.3">
      <c r="A1159" s="4">
        <v>46235</v>
      </c>
      <c r="B1159" s="5" t="s">
        <v>13</v>
      </c>
      <c r="C1159" s="4">
        <v>46204</v>
      </c>
      <c r="D1159" s="5" t="s">
        <v>9</v>
      </c>
      <c r="E1159" s="6">
        <v>1558</v>
      </c>
      <c r="F1159" s="6">
        <v>213841.20667522459</v>
      </c>
      <c r="G1159" s="6">
        <v>333164600</v>
      </c>
      <c r="H1159" s="6">
        <v>151437600</v>
      </c>
      <c r="I1159" s="6">
        <f t="shared" si="18"/>
        <v>31</v>
      </c>
      <c r="J1159" t="str" cm="1">
        <f t="array" ref="J1159">_xlfn.IFS(
AND(I1159&gt;=89,I1159&lt;=92),"D-90",
AND(I1159&gt;=58,I1159&lt;=62),"D-60",
AND(I1159&gt;=28,I1159&lt;=32),"D-30",
AND(I1159=0),"당월",
TRUE,"그외")</f>
        <v>D-30</v>
      </c>
    </row>
    <row r="1160" spans="1:10" ht="17.649999999999999" customHeight="1" x14ac:dyDescent="0.3">
      <c r="A1160" s="4">
        <v>46235</v>
      </c>
      <c r="B1160" s="5" t="s">
        <v>13</v>
      </c>
      <c r="C1160" s="4">
        <v>46204</v>
      </c>
      <c r="D1160" s="5" t="s">
        <v>10</v>
      </c>
      <c r="E1160" s="6">
        <v>2654</v>
      </c>
      <c r="F1160" s="6">
        <v>269508.69894498872</v>
      </c>
      <c r="G1160" s="6">
        <v>715276087</v>
      </c>
      <c r="H1160" s="6">
        <v>252291468</v>
      </c>
      <c r="I1160" s="6">
        <f t="shared" si="18"/>
        <v>31</v>
      </c>
      <c r="J1160" t="str" cm="1">
        <f t="array" ref="J1160">_xlfn.IFS(
AND(I1160&gt;=89,I1160&lt;=92),"D-90",
AND(I1160&gt;=58,I1160&lt;=62),"D-60",
AND(I1160&gt;=28,I1160&lt;=32),"D-30",
AND(I1160=0),"당월",
TRUE,"그외")</f>
        <v>D-30</v>
      </c>
    </row>
    <row r="1161" spans="1:10" ht="17.649999999999999" customHeight="1" x14ac:dyDescent="0.3">
      <c r="A1161" s="4">
        <v>46235</v>
      </c>
      <c r="B1161" s="5" t="s">
        <v>13</v>
      </c>
      <c r="C1161" s="4">
        <v>46235</v>
      </c>
      <c r="D1161" s="5" t="s">
        <v>9</v>
      </c>
      <c r="E1161" s="6">
        <v>56</v>
      </c>
      <c r="F1161" s="6">
        <v>106550</v>
      </c>
      <c r="G1161" s="6">
        <v>5966800</v>
      </c>
      <c r="H1161" s="6">
        <v>2386800</v>
      </c>
      <c r="I1161" s="6">
        <f t="shared" si="18"/>
        <v>0</v>
      </c>
      <c r="J1161" t="str" cm="1">
        <f t="array" ref="J1161">_xlfn.IFS(
AND(I1161&gt;=89,I1161&lt;=92),"D-90",
AND(I1161&gt;=58,I1161&lt;=62),"D-60",
AND(I1161&gt;=28,I1161&lt;=32),"D-30",
AND(I1161=0),"당월",
TRUE,"그외")</f>
        <v>당월</v>
      </c>
    </row>
    <row r="1162" spans="1:10" ht="17.649999999999999" customHeight="1" x14ac:dyDescent="0.3">
      <c r="A1162" s="4">
        <v>46235</v>
      </c>
      <c r="B1162" s="5" t="s">
        <v>13</v>
      </c>
      <c r="C1162" s="4">
        <v>46235</v>
      </c>
      <c r="D1162" s="5" t="s">
        <v>10</v>
      </c>
      <c r="E1162" s="6">
        <v>286</v>
      </c>
      <c r="F1162" s="6">
        <v>242242.7587412587</v>
      </c>
      <c r="G1162" s="6">
        <v>69281429</v>
      </c>
      <c r="H1162" s="6">
        <v>20048942</v>
      </c>
      <c r="I1162" s="6">
        <f t="shared" si="18"/>
        <v>0</v>
      </c>
      <c r="J1162" t="str" cm="1">
        <f t="array" ref="J1162">_xlfn.IFS(
AND(I1162&gt;=89,I1162&lt;=92),"D-90",
AND(I1162&gt;=58,I1162&lt;=62),"D-60",
AND(I1162&gt;=28,I1162&lt;=32),"D-30",
AND(I1162=0),"당월",
TRUE,"그외")</f>
        <v>당월</v>
      </c>
    </row>
    <row r="1163" spans="1:10" ht="17.649999999999999" customHeight="1" x14ac:dyDescent="0.3">
      <c r="A1163" s="4">
        <v>46266</v>
      </c>
      <c r="B1163" s="5" t="s">
        <v>8</v>
      </c>
      <c r="C1163" s="4">
        <v>45931</v>
      </c>
      <c r="D1163" s="5" t="s">
        <v>10</v>
      </c>
      <c r="E1163" s="6">
        <v>1</v>
      </c>
      <c r="F1163" s="6">
        <v>166400</v>
      </c>
      <c r="G1163" s="6">
        <v>166400</v>
      </c>
      <c r="H1163" s="6">
        <v>26400</v>
      </c>
      <c r="I1163" s="6">
        <f t="shared" si="18"/>
        <v>335</v>
      </c>
      <c r="J1163" t="str" cm="1">
        <f t="array" ref="J1163">_xlfn.IFS(
AND(I1163&gt;=89,I1163&lt;=92),"D-90",
AND(I1163&gt;=58,I1163&lt;=62),"D-60",
AND(I1163&gt;=28,I1163&lt;=32),"D-30",
AND(I1163=0),"당월",
TRUE,"그외")</f>
        <v>그외</v>
      </c>
    </row>
    <row r="1164" spans="1:10" ht="17.649999999999999" customHeight="1" x14ac:dyDescent="0.3">
      <c r="A1164" s="4">
        <v>46266</v>
      </c>
      <c r="B1164" s="5" t="s">
        <v>8</v>
      </c>
      <c r="C1164" s="4">
        <v>45962</v>
      </c>
      <c r="D1164" s="5" t="s">
        <v>10</v>
      </c>
      <c r="E1164" s="6">
        <v>23</v>
      </c>
      <c r="F1164" s="6">
        <v>348765.21739130432</v>
      </c>
      <c r="G1164" s="6">
        <v>8021600</v>
      </c>
      <c r="H1164" s="6">
        <v>614100</v>
      </c>
      <c r="I1164" s="6">
        <f t="shared" si="18"/>
        <v>304</v>
      </c>
      <c r="J1164" t="str" cm="1">
        <f t="array" ref="J1164">_xlfn.IFS(
AND(I1164&gt;=89,I1164&lt;=92),"D-90",
AND(I1164&gt;=58,I1164&lt;=62),"D-60",
AND(I1164&gt;=28,I1164&lt;=32),"D-30",
AND(I1164=0),"당월",
TRUE,"그외")</f>
        <v>그외</v>
      </c>
    </row>
    <row r="1165" spans="1:10" ht="17.649999999999999" customHeight="1" x14ac:dyDescent="0.3">
      <c r="A1165" s="4">
        <v>46266</v>
      </c>
      <c r="B1165" s="5" t="s">
        <v>8</v>
      </c>
      <c r="C1165" s="4">
        <v>45992</v>
      </c>
      <c r="D1165" s="5" t="s">
        <v>10</v>
      </c>
      <c r="E1165" s="6">
        <v>1</v>
      </c>
      <c r="F1165" s="6">
        <v>171700</v>
      </c>
      <c r="G1165" s="6">
        <v>171700</v>
      </c>
      <c r="H1165" s="6">
        <v>31700</v>
      </c>
      <c r="I1165" s="6">
        <f t="shared" si="18"/>
        <v>274</v>
      </c>
      <c r="J1165" t="str" cm="1">
        <f t="array" ref="J1165">_xlfn.IFS(
AND(I1165&gt;=89,I1165&lt;=92),"D-90",
AND(I1165&gt;=58,I1165&lt;=62),"D-60",
AND(I1165&gt;=28,I1165&lt;=32),"D-30",
AND(I1165=0),"당월",
TRUE,"그외")</f>
        <v>그외</v>
      </c>
    </row>
    <row r="1166" spans="1:10" ht="17.649999999999999" customHeight="1" x14ac:dyDescent="0.3">
      <c r="A1166" s="4">
        <v>46266</v>
      </c>
      <c r="B1166" s="5" t="s">
        <v>8</v>
      </c>
      <c r="C1166" s="4">
        <v>46023</v>
      </c>
      <c r="D1166" s="5" t="s">
        <v>10</v>
      </c>
      <c r="E1166" s="6">
        <v>47</v>
      </c>
      <c r="F1166" s="6">
        <v>243082.97872340429</v>
      </c>
      <c r="G1166" s="6">
        <v>11424900</v>
      </c>
      <c r="H1166" s="6">
        <v>1518100</v>
      </c>
      <c r="I1166" s="6">
        <f t="shared" si="18"/>
        <v>243</v>
      </c>
      <c r="J1166" t="str" cm="1">
        <f t="array" ref="J1166">_xlfn.IFS(
AND(I1166&gt;=89,I1166&lt;=92),"D-90",
AND(I1166&gt;=58,I1166&lt;=62),"D-60",
AND(I1166&gt;=28,I1166&lt;=32),"D-30",
AND(I1166=0),"당월",
TRUE,"그외")</f>
        <v>그외</v>
      </c>
    </row>
    <row r="1167" spans="1:10" ht="17.649999999999999" customHeight="1" x14ac:dyDescent="0.3">
      <c r="A1167" s="4">
        <v>46266</v>
      </c>
      <c r="B1167" s="5" t="s">
        <v>8</v>
      </c>
      <c r="C1167" s="4">
        <v>46054</v>
      </c>
      <c r="D1167" s="5" t="s">
        <v>10</v>
      </c>
      <c r="E1167" s="6">
        <v>81</v>
      </c>
      <c r="F1167" s="6">
        <v>176382.88888888891</v>
      </c>
      <c r="G1167" s="6">
        <v>14287014</v>
      </c>
      <c r="H1167" s="6">
        <v>1824202</v>
      </c>
      <c r="I1167" s="6">
        <f t="shared" si="18"/>
        <v>212</v>
      </c>
      <c r="J1167" t="str" cm="1">
        <f t="array" ref="J1167">_xlfn.IFS(
AND(I1167&gt;=89,I1167&lt;=92),"D-90",
AND(I1167&gt;=58,I1167&lt;=62),"D-60",
AND(I1167&gt;=28,I1167&lt;=32),"D-30",
AND(I1167=0),"당월",
TRUE,"그외")</f>
        <v>그외</v>
      </c>
    </row>
    <row r="1168" spans="1:10" ht="17.649999999999999" customHeight="1" x14ac:dyDescent="0.3">
      <c r="A1168" s="4">
        <v>46266</v>
      </c>
      <c r="B1168" s="5" t="s">
        <v>8</v>
      </c>
      <c r="C1168" s="4">
        <v>46082</v>
      </c>
      <c r="D1168" s="5" t="s">
        <v>9</v>
      </c>
      <c r="E1168" s="6">
        <v>75</v>
      </c>
      <c r="F1168" s="6">
        <v>131406.66666666669</v>
      </c>
      <c r="G1168" s="6">
        <v>9855500</v>
      </c>
      <c r="H1168" s="6">
        <v>2092500</v>
      </c>
      <c r="I1168" s="6">
        <f t="shared" si="18"/>
        <v>184</v>
      </c>
      <c r="J1168" t="str" cm="1">
        <f t="array" ref="J1168">_xlfn.IFS(
AND(I1168&gt;=89,I1168&lt;=92),"D-90",
AND(I1168&gt;=58,I1168&lt;=62),"D-60",
AND(I1168&gt;=28,I1168&lt;=32),"D-30",
AND(I1168=0),"당월",
TRUE,"그외")</f>
        <v>그외</v>
      </c>
    </row>
    <row r="1169" spans="1:10" ht="17.649999999999999" customHeight="1" x14ac:dyDescent="0.3">
      <c r="A1169" s="4">
        <v>46266</v>
      </c>
      <c r="B1169" s="5" t="s">
        <v>8</v>
      </c>
      <c r="C1169" s="4">
        <v>46082</v>
      </c>
      <c r="D1169" s="5" t="s">
        <v>10</v>
      </c>
      <c r="E1169" s="6">
        <v>387</v>
      </c>
      <c r="F1169" s="6">
        <v>201522.43669250651</v>
      </c>
      <c r="G1169" s="6">
        <v>77989183</v>
      </c>
      <c r="H1169" s="6">
        <v>11066781</v>
      </c>
      <c r="I1169" s="6">
        <f t="shared" si="18"/>
        <v>184</v>
      </c>
      <c r="J1169" t="str" cm="1">
        <f t="array" ref="J1169">_xlfn.IFS(
AND(I1169&gt;=89,I1169&lt;=92),"D-90",
AND(I1169&gt;=58,I1169&lt;=62),"D-60",
AND(I1169&gt;=28,I1169&lt;=32),"D-30",
AND(I1169=0),"당월",
TRUE,"그외")</f>
        <v>그외</v>
      </c>
    </row>
    <row r="1170" spans="1:10" ht="17.649999999999999" customHeight="1" x14ac:dyDescent="0.3">
      <c r="A1170" s="4">
        <v>46266</v>
      </c>
      <c r="B1170" s="5" t="s">
        <v>8</v>
      </c>
      <c r="C1170" s="4">
        <v>46113</v>
      </c>
      <c r="D1170" s="5" t="s">
        <v>9</v>
      </c>
      <c r="E1170" s="6">
        <v>47</v>
      </c>
      <c r="F1170" s="6">
        <v>189772.3404255319</v>
      </c>
      <c r="G1170" s="6">
        <v>8919300</v>
      </c>
      <c r="H1170" s="6">
        <v>4131300</v>
      </c>
      <c r="I1170" s="6">
        <f t="shared" si="18"/>
        <v>153</v>
      </c>
      <c r="J1170" t="str" cm="1">
        <f t="array" ref="J1170">_xlfn.IFS(
AND(I1170&gt;=89,I1170&lt;=92),"D-90",
AND(I1170&gt;=58,I1170&lt;=62),"D-60",
AND(I1170&gt;=28,I1170&lt;=32),"D-30",
AND(I1170=0),"당월",
TRUE,"그외")</f>
        <v>그외</v>
      </c>
    </row>
    <row r="1171" spans="1:10" ht="17.649999999999999" customHeight="1" x14ac:dyDescent="0.3">
      <c r="A1171" s="4">
        <v>46266</v>
      </c>
      <c r="B1171" s="5" t="s">
        <v>8</v>
      </c>
      <c r="C1171" s="4">
        <v>46113</v>
      </c>
      <c r="D1171" s="5" t="s">
        <v>10</v>
      </c>
      <c r="E1171" s="6">
        <v>12</v>
      </c>
      <c r="F1171" s="6">
        <v>248766.66666666669</v>
      </c>
      <c r="G1171" s="6">
        <v>2985200</v>
      </c>
      <c r="H1171" s="6">
        <v>1054800</v>
      </c>
      <c r="I1171" s="6">
        <f t="shared" si="18"/>
        <v>153</v>
      </c>
      <c r="J1171" t="str" cm="1">
        <f t="array" ref="J1171">_xlfn.IFS(
AND(I1171&gt;=89,I1171&lt;=92),"D-90",
AND(I1171&gt;=58,I1171&lt;=62),"D-60",
AND(I1171&gt;=28,I1171&lt;=32),"D-30",
AND(I1171=0),"당월",
TRUE,"그외")</f>
        <v>그외</v>
      </c>
    </row>
    <row r="1172" spans="1:10" ht="17.649999999999999" customHeight="1" x14ac:dyDescent="0.3">
      <c r="A1172" s="4">
        <v>46266</v>
      </c>
      <c r="B1172" s="5" t="s">
        <v>8</v>
      </c>
      <c r="C1172" s="4">
        <v>46143</v>
      </c>
      <c r="D1172" s="5" t="s">
        <v>9</v>
      </c>
      <c r="E1172" s="6">
        <v>6</v>
      </c>
      <c r="F1172" s="6">
        <v>117900</v>
      </c>
      <c r="G1172" s="6">
        <v>707400</v>
      </c>
      <c r="H1172" s="6">
        <v>167400</v>
      </c>
      <c r="I1172" s="6">
        <f t="shared" si="18"/>
        <v>123</v>
      </c>
      <c r="J1172" t="str" cm="1">
        <f t="array" ref="J1172">_xlfn.IFS(
AND(I1172&gt;=89,I1172&lt;=92),"D-90",
AND(I1172&gt;=58,I1172&lt;=62),"D-60",
AND(I1172&gt;=28,I1172&lt;=32),"D-30",
AND(I1172=0),"당월",
TRUE,"그외")</f>
        <v>그외</v>
      </c>
    </row>
    <row r="1173" spans="1:10" ht="17.649999999999999" customHeight="1" x14ac:dyDescent="0.3">
      <c r="A1173" s="4">
        <v>46266</v>
      </c>
      <c r="B1173" s="5" t="s">
        <v>8</v>
      </c>
      <c r="C1173" s="4">
        <v>46143</v>
      </c>
      <c r="D1173" s="5" t="s">
        <v>10</v>
      </c>
      <c r="E1173" s="6">
        <v>6</v>
      </c>
      <c r="F1173" s="6">
        <v>254893.33333333331</v>
      </c>
      <c r="G1173" s="6">
        <v>1529360</v>
      </c>
      <c r="H1173" s="6">
        <v>448000</v>
      </c>
      <c r="I1173" s="6">
        <f t="shared" si="18"/>
        <v>123</v>
      </c>
      <c r="J1173" t="str" cm="1">
        <f t="array" ref="J1173">_xlfn.IFS(
AND(I1173&gt;=89,I1173&lt;=92),"D-90",
AND(I1173&gt;=58,I1173&lt;=62),"D-60",
AND(I1173&gt;=28,I1173&lt;=32),"D-30",
AND(I1173=0),"당월",
TRUE,"그외")</f>
        <v>그외</v>
      </c>
    </row>
    <row r="1174" spans="1:10" ht="17.649999999999999" customHeight="1" x14ac:dyDescent="0.3">
      <c r="A1174" s="4">
        <v>46266</v>
      </c>
      <c r="B1174" s="5" t="s">
        <v>8</v>
      </c>
      <c r="C1174" s="4">
        <v>46174</v>
      </c>
      <c r="D1174" s="5" t="s">
        <v>9</v>
      </c>
      <c r="E1174" s="6">
        <v>14</v>
      </c>
      <c r="F1174" s="6">
        <v>117900</v>
      </c>
      <c r="G1174" s="6">
        <v>1650600</v>
      </c>
      <c r="H1174" s="6">
        <v>390600</v>
      </c>
      <c r="I1174" s="6">
        <f t="shared" si="18"/>
        <v>92</v>
      </c>
      <c r="J1174" t="str" cm="1">
        <f t="array" ref="J1174">_xlfn.IFS(
AND(I1174&gt;=89,I1174&lt;=92),"D-90",
AND(I1174&gt;=58,I1174&lt;=62),"D-60",
AND(I1174&gt;=28,I1174&lt;=32),"D-30",
AND(I1174=0),"당월",
TRUE,"그외")</f>
        <v>D-90</v>
      </c>
    </row>
    <row r="1175" spans="1:10" ht="17.649999999999999" customHeight="1" x14ac:dyDescent="0.3">
      <c r="A1175" s="4">
        <v>46266</v>
      </c>
      <c r="B1175" s="5" t="s">
        <v>8</v>
      </c>
      <c r="C1175" s="4">
        <v>46174</v>
      </c>
      <c r="D1175" s="5" t="s">
        <v>10</v>
      </c>
      <c r="E1175" s="6">
        <v>59</v>
      </c>
      <c r="F1175" s="6">
        <v>273052.03389830509</v>
      </c>
      <c r="G1175" s="6">
        <v>16110070</v>
      </c>
      <c r="H1175" s="6">
        <v>4754150</v>
      </c>
      <c r="I1175" s="6">
        <f t="shared" si="18"/>
        <v>92</v>
      </c>
      <c r="J1175" t="str" cm="1">
        <f t="array" ref="J1175">_xlfn.IFS(
AND(I1175&gt;=89,I1175&lt;=92),"D-90",
AND(I1175&gt;=58,I1175&lt;=62),"D-60",
AND(I1175&gt;=28,I1175&lt;=32),"D-30",
AND(I1175=0),"당월",
TRUE,"그외")</f>
        <v>D-90</v>
      </c>
    </row>
    <row r="1176" spans="1:10" ht="17.649999999999999" customHeight="1" x14ac:dyDescent="0.3">
      <c r="A1176" s="4">
        <v>46266</v>
      </c>
      <c r="B1176" s="5" t="s">
        <v>8</v>
      </c>
      <c r="C1176" s="4">
        <v>46204</v>
      </c>
      <c r="D1176" s="5" t="s">
        <v>9</v>
      </c>
      <c r="E1176" s="6">
        <v>155</v>
      </c>
      <c r="F1176" s="6">
        <v>183094.83870967739</v>
      </c>
      <c r="G1176" s="6">
        <v>28379700</v>
      </c>
      <c r="H1176" s="6">
        <v>14303700</v>
      </c>
      <c r="I1176" s="6">
        <f t="shared" si="18"/>
        <v>62</v>
      </c>
      <c r="J1176" t="str" cm="1">
        <f t="array" ref="J1176">_xlfn.IFS(
AND(I1176&gt;=89,I1176&lt;=92),"D-90",
AND(I1176&gt;=58,I1176&lt;=62),"D-60",
AND(I1176&gt;=28,I1176&lt;=32),"D-30",
AND(I1176=0),"당월",
TRUE,"그외")</f>
        <v>D-60</v>
      </c>
    </row>
    <row r="1177" spans="1:10" ht="17.649999999999999" customHeight="1" x14ac:dyDescent="0.3">
      <c r="A1177" s="4">
        <v>46266</v>
      </c>
      <c r="B1177" s="5" t="s">
        <v>8</v>
      </c>
      <c r="C1177" s="4">
        <v>46204</v>
      </c>
      <c r="D1177" s="5" t="s">
        <v>10</v>
      </c>
      <c r="E1177" s="6">
        <v>1034</v>
      </c>
      <c r="F1177" s="6">
        <v>208931.00290135399</v>
      </c>
      <c r="G1177" s="6">
        <v>216034657</v>
      </c>
      <c r="H1177" s="6">
        <v>78181106</v>
      </c>
      <c r="I1177" s="6">
        <f t="shared" si="18"/>
        <v>62</v>
      </c>
      <c r="J1177" t="str" cm="1">
        <f t="array" ref="J1177">_xlfn.IFS(
AND(I1177&gt;=89,I1177&lt;=92),"D-90",
AND(I1177&gt;=58,I1177&lt;=62),"D-60",
AND(I1177&gt;=28,I1177&lt;=32),"D-30",
AND(I1177=0),"당월",
TRUE,"그외")</f>
        <v>D-60</v>
      </c>
    </row>
    <row r="1178" spans="1:10" ht="17.649999999999999" customHeight="1" x14ac:dyDescent="0.3">
      <c r="A1178" s="4">
        <v>46266</v>
      </c>
      <c r="B1178" s="5" t="s">
        <v>8</v>
      </c>
      <c r="C1178" s="4">
        <v>46235</v>
      </c>
      <c r="D1178" s="5" t="s">
        <v>9</v>
      </c>
      <c r="E1178" s="6">
        <v>75</v>
      </c>
      <c r="F1178" s="6">
        <v>120040</v>
      </c>
      <c r="G1178" s="6">
        <v>9003000</v>
      </c>
      <c r="H1178" s="6">
        <v>5265000</v>
      </c>
      <c r="I1178" s="6">
        <f t="shared" si="18"/>
        <v>31</v>
      </c>
      <c r="J1178" t="str" cm="1">
        <f t="array" ref="J1178">_xlfn.IFS(
AND(I1178&gt;=89,I1178&lt;=92),"D-90",
AND(I1178&gt;=58,I1178&lt;=62),"D-60",
AND(I1178&gt;=28,I1178&lt;=32),"D-30",
AND(I1178=0),"당월",
TRUE,"그외")</f>
        <v>D-30</v>
      </c>
    </row>
    <row r="1179" spans="1:10" ht="17.649999999999999" customHeight="1" x14ac:dyDescent="0.3">
      <c r="A1179" s="4">
        <v>46266</v>
      </c>
      <c r="B1179" s="5" t="s">
        <v>8</v>
      </c>
      <c r="C1179" s="4">
        <v>46235</v>
      </c>
      <c r="D1179" s="5" t="s">
        <v>10</v>
      </c>
      <c r="E1179" s="6">
        <v>465</v>
      </c>
      <c r="F1179" s="6">
        <v>158958.96129032259</v>
      </c>
      <c r="G1179" s="6">
        <v>73915917</v>
      </c>
      <c r="H1179" s="6">
        <v>31158802</v>
      </c>
      <c r="I1179" s="6">
        <f t="shared" si="18"/>
        <v>31</v>
      </c>
      <c r="J1179" t="str" cm="1">
        <f t="array" ref="J1179">_xlfn.IFS(
AND(I1179&gt;=89,I1179&lt;=92),"D-90",
AND(I1179&gt;=58,I1179&lt;=62),"D-60",
AND(I1179&gt;=28,I1179&lt;=32),"D-30",
AND(I1179=0),"당월",
TRUE,"그외")</f>
        <v>D-30</v>
      </c>
    </row>
    <row r="1180" spans="1:10" ht="17.649999999999999" customHeight="1" x14ac:dyDescent="0.3">
      <c r="A1180" s="4">
        <v>46266</v>
      </c>
      <c r="B1180" s="5" t="s">
        <v>11</v>
      </c>
      <c r="C1180" s="4">
        <v>45962</v>
      </c>
      <c r="D1180" s="5" t="s">
        <v>10</v>
      </c>
      <c r="E1180" s="6">
        <v>6</v>
      </c>
      <c r="F1180" s="6">
        <v>541133.33333333337</v>
      </c>
      <c r="G1180" s="6">
        <v>3246800</v>
      </c>
      <c r="H1180" s="6">
        <v>160200</v>
      </c>
      <c r="I1180" s="6">
        <f t="shared" si="18"/>
        <v>304</v>
      </c>
      <c r="J1180" t="str" cm="1">
        <f t="array" ref="J1180">_xlfn.IFS(
AND(I1180&gt;=89,I1180&lt;=92),"D-90",
AND(I1180&gt;=58,I1180&lt;=62),"D-60",
AND(I1180&gt;=28,I1180&lt;=32),"D-30",
AND(I1180=0),"당월",
TRUE,"그외")</f>
        <v>그외</v>
      </c>
    </row>
    <row r="1181" spans="1:10" ht="17.649999999999999" customHeight="1" x14ac:dyDescent="0.3">
      <c r="A1181" s="4">
        <v>46266</v>
      </c>
      <c r="B1181" s="5" t="s">
        <v>11</v>
      </c>
      <c r="C1181" s="4">
        <v>45992</v>
      </c>
      <c r="D1181" s="5" t="s">
        <v>10</v>
      </c>
      <c r="E1181" s="6">
        <v>8</v>
      </c>
      <c r="F1181" s="6">
        <v>367225</v>
      </c>
      <c r="G1181" s="6">
        <v>2937800</v>
      </c>
      <c r="H1181" s="6">
        <v>253600</v>
      </c>
      <c r="I1181" s="6">
        <f t="shared" si="18"/>
        <v>274</v>
      </c>
      <c r="J1181" t="str" cm="1">
        <f t="array" ref="J1181">_xlfn.IFS(
AND(I1181&gt;=89,I1181&lt;=92),"D-90",
AND(I1181&gt;=58,I1181&lt;=62),"D-60",
AND(I1181&gt;=28,I1181&lt;=32),"D-30",
AND(I1181=0),"당월",
TRUE,"그외")</f>
        <v>그외</v>
      </c>
    </row>
    <row r="1182" spans="1:10" ht="17.649999999999999" customHeight="1" x14ac:dyDescent="0.3">
      <c r="A1182" s="4">
        <v>46266</v>
      </c>
      <c r="B1182" s="5" t="s">
        <v>11</v>
      </c>
      <c r="C1182" s="4">
        <v>46023</v>
      </c>
      <c r="D1182" s="5" t="s">
        <v>10</v>
      </c>
      <c r="E1182" s="6">
        <v>39</v>
      </c>
      <c r="F1182" s="6">
        <v>310858.97435897437</v>
      </c>
      <c r="G1182" s="6">
        <v>12123500</v>
      </c>
      <c r="H1182" s="6">
        <v>1259700</v>
      </c>
      <c r="I1182" s="6">
        <f t="shared" si="18"/>
        <v>243</v>
      </c>
      <c r="J1182" t="str" cm="1">
        <f t="array" ref="J1182">_xlfn.IFS(
AND(I1182&gt;=89,I1182&lt;=92),"D-90",
AND(I1182&gt;=58,I1182&lt;=62),"D-60",
AND(I1182&gt;=28,I1182&lt;=32),"D-30",
AND(I1182=0),"당월",
TRUE,"그외")</f>
        <v>그외</v>
      </c>
    </row>
    <row r="1183" spans="1:10" ht="17.649999999999999" customHeight="1" x14ac:dyDescent="0.3">
      <c r="A1183" s="4">
        <v>46266</v>
      </c>
      <c r="B1183" s="5" t="s">
        <v>11</v>
      </c>
      <c r="C1183" s="4">
        <v>46054</v>
      </c>
      <c r="D1183" s="5" t="s">
        <v>10</v>
      </c>
      <c r="E1183" s="6">
        <v>25</v>
      </c>
      <c r="F1183" s="6">
        <v>418724.08</v>
      </c>
      <c r="G1183" s="6">
        <v>10468102</v>
      </c>
      <c r="H1183" s="6">
        <v>594218</v>
      </c>
      <c r="I1183" s="6">
        <f t="shared" si="18"/>
        <v>212</v>
      </c>
      <c r="J1183" t="str" cm="1">
        <f t="array" ref="J1183">_xlfn.IFS(
AND(I1183&gt;=89,I1183&lt;=92),"D-90",
AND(I1183&gt;=58,I1183&lt;=62),"D-60",
AND(I1183&gt;=28,I1183&lt;=32),"D-30",
AND(I1183=0),"당월",
TRUE,"그외")</f>
        <v>그외</v>
      </c>
    </row>
    <row r="1184" spans="1:10" ht="17.649999999999999" customHeight="1" x14ac:dyDescent="0.3">
      <c r="A1184" s="4">
        <v>46266</v>
      </c>
      <c r="B1184" s="5" t="s">
        <v>11</v>
      </c>
      <c r="C1184" s="4">
        <v>46082</v>
      </c>
      <c r="D1184" s="5" t="s">
        <v>10</v>
      </c>
      <c r="E1184" s="6">
        <v>37</v>
      </c>
      <c r="F1184" s="6">
        <v>284359.45945945953</v>
      </c>
      <c r="G1184" s="6">
        <v>10521300</v>
      </c>
      <c r="H1184" s="6">
        <v>1032300</v>
      </c>
      <c r="I1184" s="6">
        <f t="shared" si="18"/>
        <v>184</v>
      </c>
      <c r="J1184" t="str" cm="1">
        <f t="array" ref="J1184">_xlfn.IFS(
AND(I1184&gt;=89,I1184&lt;=92),"D-90",
AND(I1184&gt;=58,I1184&lt;=62),"D-60",
AND(I1184&gt;=28,I1184&lt;=32),"D-30",
AND(I1184=0),"당월",
TRUE,"그외")</f>
        <v>그외</v>
      </c>
    </row>
    <row r="1185" spans="1:10" ht="17.649999999999999" customHeight="1" x14ac:dyDescent="0.3">
      <c r="A1185" s="4">
        <v>46266</v>
      </c>
      <c r="B1185" s="5" t="s">
        <v>11</v>
      </c>
      <c r="C1185" s="4">
        <v>46113</v>
      </c>
      <c r="D1185" s="5" t="s">
        <v>10</v>
      </c>
      <c r="E1185" s="6">
        <v>13</v>
      </c>
      <c r="F1185" s="6">
        <v>510000</v>
      </c>
      <c r="G1185" s="6">
        <v>6630000</v>
      </c>
      <c r="H1185" s="6">
        <v>1142700</v>
      </c>
      <c r="I1185" s="6">
        <f t="shared" si="18"/>
        <v>153</v>
      </c>
      <c r="J1185" t="str" cm="1">
        <f t="array" ref="J1185">_xlfn.IFS(
AND(I1185&gt;=89,I1185&lt;=92),"D-90",
AND(I1185&gt;=58,I1185&lt;=62),"D-60",
AND(I1185&gt;=28,I1185&lt;=32),"D-30",
AND(I1185=0),"당월",
TRUE,"그외")</f>
        <v>그외</v>
      </c>
    </row>
    <row r="1186" spans="1:10" ht="17.649999999999999" customHeight="1" x14ac:dyDescent="0.3">
      <c r="A1186" s="4">
        <v>46266</v>
      </c>
      <c r="B1186" s="5" t="s">
        <v>11</v>
      </c>
      <c r="C1186" s="4">
        <v>46143</v>
      </c>
      <c r="D1186" s="5" t="s">
        <v>10</v>
      </c>
      <c r="E1186" s="6">
        <v>4</v>
      </c>
      <c r="F1186" s="6">
        <v>301200</v>
      </c>
      <c r="G1186" s="6">
        <v>1204800</v>
      </c>
      <c r="H1186" s="6">
        <v>672800</v>
      </c>
      <c r="I1186" s="6">
        <f t="shared" si="18"/>
        <v>123</v>
      </c>
      <c r="J1186" t="str" cm="1">
        <f t="array" ref="J1186">_xlfn.IFS(
AND(I1186&gt;=89,I1186&lt;=92),"D-90",
AND(I1186&gt;=58,I1186&lt;=62),"D-60",
AND(I1186&gt;=28,I1186&lt;=32),"D-30",
AND(I1186=0),"당월",
TRUE,"그외")</f>
        <v>그외</v>
      </c>
    </row>
    <row r="1187" spans="1:10" ht="17.649999999999999" customHeight="1" x14ac:dyDescent="0.3">
      <c r="A1187" s="4">
        <v>46266</v>
      </c>
      <c r="B1187" s="5" t="s">
        <v>11</v>
      </c>
      <c r="C1187" s="4">
        <v>46174</v>
      </c>
      <c r="D1187" s="5" t="s">
        <v>10</v>
      </c>
      <c r="E1187" s="6">
        <v>12</v>
      </c>
      <c r="F1187" s="6">
        <v>547400</v>
      </c>
      <c r="G1187" s="6">
        <v>6568800</v>
      </c>
      <c r="H1187" s="6">
        <v>1616400</v>
      </c>
      <c r="I1187" s="6">
        <f t="shared" si="18"/>
        <v>92</v>
      </c>
      <c r="J1187" t="str" cm="1">
        <f t="array" ref="J1187">_xlfn.IFS(
AND(I1187&gt;=89,I1187&lt;=92),"D-90",
AND(I1187&gt;=58,I1187&lt;=62),"D-60",
AND(I1187&gt;=28,I1187&lt;=32),"D-30",
AND(I1187=0),"당월",
TRUE,"그외")</f>
        <v>D-90</v>
      </c>
    </row>
    <row r="1188" spans="1:10" ht="17.649999999999999" customHeight="1" x14ac:dyDescent="0.3">
      <c r="A1188" s="4">
        <v>46266</v>
      </c>
      <c r="B1188" s="5" t="s">
        <v>11</v>
      </c>
      <c r="C1188" s="4">
        <v>46204</v>
      </c>
      <c r="D1188" s="5" t="s">
        <v>10</v>
      </c>
      <c r="E1188" s="6">
        <v>151</v>
      </c>
      <c r="F1188" s="6">
        <v>282830.94039735099</v>
      </c>
      <c r="G1188" s="6">
        <v>42707472</v>
      </c>
      <c r="H1188" s="6">
        <v>11938744</v>
      </c>
      <c r="I1188" s="6">
        <f t="shared" si="18"/>
        <v>62</v>
      </c>
      <c r="J1188" t="str" cm="1">
        <f t="array" ref="J1188">_xlfn.IFS(
AND(I1188&gt;=89,I1188&lt;=92),"D-90",
AND(I1188&gt;=58,I1188&lt;=62),"D-60",
AND(I1188&gt;=28,I1188&lt;=32),"D-30",
AND(I1188=0),"당월",
TRUE,"그외")</f>
        <v>D-60</v>
      </c>
    </row>
    <row r="1189" spans="1:10" ht="17.649999999999999" customHeight="1" x14ac:dyDescent="0.3">
      <c r="A1189" s="4">
        <v>46266</v>
      </c>
      <c r="B1189" s="5" t="s">
        <v>11</v>
      </c>
      <c r="C1189" s="4">
        <v>46235</v>
      </c>
      <c r="D1189" s="5" t="s">
        <v>10</v>
      </c>
      <c r="E1189" s="6">
        <v>59</v>
      </c>
      <c r="F1189" s="6">
        <v>285372.54237288138</v>
      </c>
      <c r="G1189" s="6">
        <v>16836980</v>
      </c>
      <c r="H1189" s="6">
        <v>4032756</v>
      </c>
      <c r="I1189" s="6">
        <f t="shared" si="18"/>
        <v>31</v>
      </c>
      <c r="J1189" t="str" cm="1">
        <f t="array" ref="J1189">_xlfn.IFS(
AND(I1189&gt;=89,I1189&lt;=92),"D-90",
AND(I1189&gt;=58,I1189&lt;=62),"D-60",
AND(I1189&gt;=28,I1189&lt;=32),"D-30",
AND(I1189=0),"당월",
TRUE,"그외")</f>
        <v>D-30</v>
      </c>
    </row>
    <row r="1190" spans="1:10" ht="17.649999999999999" customHeight="1" x14ac:dyDescent="0.3">
      <c r="A1190" s="4">
        <v>46266</v>
      </c>
      <c r="B1190" s="5" t="s">
        <v>12</v>
      </c>
      <c r="C1190" s="4">
        <v>46023</v>
      </c>
      <c r="D1190" s="5" t="s">
        <v>10</v>
      </c>
      <c r="E1190" s="6">
        <v>20</v>
      </c>
      <c r="F1190" s="6">
        <v>565440</v>
      </c>
      <c r="G1190" s="6">
        <v>11308800</v>
      </c>
      <c r="H1190" s="6">
        <v>646000</v>
      </c>
      <c r="I1190" s="6">
        <f t="shared" si="18"/>
        <v>243</v>
      </c>
      <c r="J1190" t="str" cm="1">
        <f t="array" ref="J1190">_xlfn.IFS(
AND(I1190&gt;=89,I1190&lt;=92),"D-90",
AND(I1190&gt;=58,I1190&lt;=62),"D-60",
AND(I1190&gt;=28,I1190&lt;=32),"D-30",
AND(I1190=0),"당월",
TRUE,"그외")</f>
        <v>그외</v>
      </c>
    </row>
    <row r="1191" spans="1:10" ht="17.649999999999999" customHeight="1" x14ac:dyDescent="0.3">
      <c r="A1191" s="4">
        <v>46266</v>
      </c>
      <c r="B1191" s="5" t="s">
        <v>12</v>
      </c>
      <c r="C1191" s="4">
        <v>46054</v>
      </c>
      <c r="D1191" s="5" t="s">
        <v>10</v>
      </c>
      <c r="E1191" s="6">
        <v>19</v>
      </c>
      <c r="F1191" s="6">
        <v>549022.31578947371</v>
      </c>
      <c r="G1191" s="6">
        <v>10431424</v>
      </c>
      <c r="H1191" s="6">
        <v>502983</v>
      </c>
      <c r="I1191" s="6">
        <f t="shared" si="18"/>
        <v>212</v>
      </c>
      <c r="J1191" t="str" cm="1">
        <f t="array" ref="J1191">_xlfn.IFS(
AND(I1191&gt;=89,I1191&lt;=92),"D-90",
AND(I1191&gt;=58,I1191&lt;=62),"D-60",
AND(I1191&gt;=28,I1191&lt;=32),"D-30",
AND(I1191=0),"당월",
TRUE,"그외")</f>
        <v>그외</v>
      </c>
    </row>
    <row r="1192" spans="1:10" ht="17.649999999999999" customHeight="1" x14ac:dyDescent="0.3">
      <c r="A1192" s="4">
        <v>46266</v>
      </c>
      <c r="B1192" s="5" t="s">
        <v>12</v>
      </c>
      <c r="C1192" s="4">
        <v>46082</v>
      </c>
      <c r="D1192" s="5" t="s">
        <v>10</v>
      </c>
      <c r="E1192" s="6">
        <v>18</v>
      </c>
      <c r="F1192" s="6">
        <v>201916.66666666669</v>
      </c>
      <c r="G1192" s="6">
        <v>3634500</v>
      </c>
      <c r="H1192" s="6">
        <v>502200</v>
      </c>
      <c r="I1192" s="6">
        <f t="shared" si="18"/>
        <v>184</v>
      </c>
      <c r="J1192" t="str" cm="1">
        <f t="array" ref="J1192">_xlfn.IFS(
AND(I1192&gt;=89,I1192&lt;=92),"D-90",
AND(I1192&gt;=58,I1192&lt;=62),"D-60",
AND(I1192&gt;=28,I1192&lt;=32),"D-30",
AND(I1192=0),"당월",
TRUE,"그외")</f>
        <v>그외</v>
      </c>
    </row>
    <row r="1193" spans="1:10" ht="17.649999999999999" customHeight="1" x14ac:dyDescent="0.3">
      <c r="A1193" s="4">
        <v>46266</v>
      </c>
      <c r="B1193" s="5" t="s">
        <v>12</v>
      </c>
      <c r="C1193" s="4">
        <v>46113</v>
      </c>
      <c r="D1193" s="5" t="s">
        <v>9</v>
      </c>
      <c r="E1193" s="6">
        <v>16</v>
      </c>
      <c r="F1193" s="6">
        <v>518400</v>
      </c>
      <c r="G1193" s="6">
        <v>8294400</v>
      </c>
      <c r="H1193" s="6">
        <v>1406400</v>
      </c>
      <c r="I1193" s="6">
        <f t="shared" si="18"/>
        <v>153</v>
      </c>
      <c r="J1193" t="str" cm="1">
        <f t="array" ref="J1193">_xlfn.IFS(
AND(I1193&gt;=89,I1193&lt;=92),"D-90",
AND(I1193&gt;=58,I1193&lt;=62),"D-60",
AND(I1193&gt;=28,I1193&lt;=32),"D-30",
AND(I1193=0),"당월",
TRUE,"그외")</f>
        <v>그외</v>
      </c>
    </row>
    <row r="1194" spans="1:10" ht="17.649999999999999" customHeight="1" x14ac:dyDescent="0.3">
      <c r="A1194" s="4">
        <v>46266</v>
      </c>
      <c r="B1194" s="5" t="s">
        <v>12</v>
      </c>
      <c r="C1194" s="4">
        <v>46113</v>
      </c>
      <c r="D1194" s="5" t="s">
        <v>10</v>
      </c>
      <c r="E1194" s="6">
        <v>4</v>
      </c>
      <c r="F1194" s="6">
        <v>363630</v>
      </c>
      <c r="G1194" s="6">
        <v>1454520</v>
      </c>
      <c r="H1194" s="6">
        <v>111600</v>
      </c>
      <c r="I1194" s="6">
        <f t="shared" si="18"/>
        <v>153</v>
      </c>
      <c r="J1194" t="str" cm="1">
        <f t="array" ref="J1194">_xlfn.IFS(
AND(I1194&gt;=89,I1194&lt;=92),"D-90",
AND(I1194&gt;=58,I1194&lt;=62),"D-60",
AND(I1194&gt;=28,I1194&lt;=32),"D-30",
AND(I1194=0),"당월",
TRUE,"그외")</f>
        <v>그외</v>
      </c>
    </row>
    <row r="1195" spans="1:10" ht="17.649999999999999" customHeight="1" x14ac:dyDescent="0.3">
      <c r="A1195" s="4">
        <v>46266</v>
      </c>
      <c r="B1195" s="5" t="s">
        <v>12</v>
      </c>
      <c r="C1195" s="4">
        <v>46143</v>
      </c>
      <c r="D1195" s="5" t="s">
        <v>9</v>
      </c>
      <c r="E1195" s="6">
        <v>4</v>
      </c>
      <c r="F1195" s="6">
        <v>598200</v>
      </c>
      <c r="G1195" s="6">
        <v>2392800</v>
      </c>
      <c r="H1195" s="6">
        <v>672800</v>
      </c>
      <c r="I1195" s="6">
        <f t="shared" si="18"/>
        <v>123</v>
      </c>
      <c r="J1195" t="str" cm="1">
        <f t="array" ref="J1195">_xlfn.IFS(
AND(I1195&gt;=89,I1195&lt;=92),"D-90",
AND(I1195&gt;=58,I1195&lt;=62),"D-60",
AND(I1195&gt;=28,I1195&lt;=32),"D-30",
AND(I1195=0),"당월",
TRUE,"그외")</f>
        <v>그외</v>
      </c>
    </row>
    <row r="1196" spans="1:10" ht="17.649999999999999" customHeight="1" x14ac:dyDescent="0.3">
      <c r="A1196" s="4">
        <v>46266</v>
      </c>
      <c r="B1196" s="5" t="s">
        <v>12</v>
      </c>
      <c r="C1196" s="4">
        <v>46143</v>
      </c>
      <c r="D1196" s="5" t="s">
        <v>10</v>
      </c>
      <c r="E1196" s="6">
        <v>8</v>
      </c>
      <c r="F1196" s="6">
        <v>659250</v>
      </c>
      <c r="G1196" s="6">
        <v>5274000</v>
      </c>
      <c r="H1196" s="6">
        <v>1345600</v>
      </c>
      <c r="I1196" s="6">
        <f t="shared" si="18"/>
        <v>123</v>
      </c>
      <c r="J1196" t="str" cm="1">
        <f t="array" ref="J1196">_xlfn.IFS(
AND(I1196&gt;=89,I1196&lt;=92),"D-90",
AND(I1196&gt;=58,I1196&lt;=62),"D-60",
AND(I1196&gt;=28,I1196&lt;=32),"D-30",
AND(I1196=0),"당월",
TRUE,"그외")</f>
        <v>그외</v>
      </c>
    </row>
    <row r="1197" spans="1:10" ht="17.649999999999999" customHeight="1" x14ac:dyDescent="0.3">
      <c r="A1197" s="4">
        <v>46266</v>
      </c>
      <c r="B1197" s="5" t="s">
        <v>12</v>
      </c>
      <c r="C1197" s="4">
        <v>46174</v>
      </c>
      <c r="D1197" s="5" t="s">
        <v>9</v>
      </c>
      <c r="E1197" s="6">
        <v>7</v>
      </c>
      <c r="F1197" s="6">
        <v>245700</v>
      </c>
      <c r="G1197" s="6">
        <v>1719900</v>
      </c>
      <c r="H1197" s="6">
        <v>942900</v>
      </c>
      <c r="I1197" s="6">
        <f t="shared" si="18"/>
        <v>92</v>
      </c>
      <c r="J1197" t="str" cm="1">
        <f t="array" ref="J1197">_xlfn.IFS(
AND(I1197&gt;=89,I1197&lt;=92),"D-90",
AND(I1197&gt;=58,I1197&lt;=62),"D-60",
AND(I1197&gt;=28,I1197&lt;=32),"D-30",
AND(I1197=0),"당월",
TRUE,"그외")</f>
        <v>D-90</v>
      </c>
    </row>
    <row r="1198" spans="1:10" ht="17.649999999999999" customHeight="1" x14ac:dyDescent="0.3">
      <c r="A1198" s="4">
        <v>46266</v>
      </c>
      <c r="B1198" s="5" t="s">
        <v>12</v>
      </c>
      <c r="C1198" s="4">
        <v>46174</v>
      </c>
      <c r="D1198" s="5" t="s">
        <v>10</v>
      </c>
      <c r="E1198" s="6">
        <v>113</v>
      </c>
      <c r="F1198" s="6">
        <v>366103.09734513267</v>
      </c>
      <c r="G1198" s="6">
        <v>41369650</v>
      </c>
      <c r="H1198" s="6">
        <v>14557300</v>
      </c>
      <c r="I1198" s="6">
        <f t="shared" si="18"/>
        <v>92</v>
      </c>
      <c r="J1198" t="str" cm="1">
        <f t="array" ref="J1198">_xlfn.IFS(
AND(I1198&gt;=89,I1198&lt;=92),"D-90",
AND(I1198&gt;=58,I1198&lt;=62),"D-60",
AND(I1198&gt;=28,I1198&lt;=32),"D-30",
AND(I1198=0),"당월",
TRUE,"그외")</f>
        <v>D-90</v>
      </c>
    </row>
    <row r="1199" spans="1:10" ht="17.649999999999999" customHeight="1" x14ac:dyDescent="0.3">
      <c r="A1199" s="4">
        <v>46266</v>
      </c>
      <c r="B1199" s="5" t="s">
        <v>12</v>
      </c>
      <c r="C1199" s="4">
        <v>46204</v>
      </c>
      <c r="D1199" s="5" t="s">
        <v>9</v>
      </c>
      <c r="E1199" s="6">
        <v>28</v>
      </c>
      <c r="F1199" s="6">
        <v>480342.85714285722</v>
      </c>
      <c r="G1199" s="6">
        <v>13449600</v>
      </c>
      <c r="H1199" s="6">
        <v>2721600</v>
      </c>
      <c r="I1199" s="6">
        <f t="shared" si="18"/>
        <v>62</v>
      </c>
      <c r="J1199" t="str" cm="1">
        <f t="array" ref="J1199">_xlfn.IFS(
AND(I1199&gt;=89,I1199&lt;=92),"D-90",
AND(I1199&gt;=58,I1199&lt;=62),"D-60",
AND(I1199&gt;=28,I1199&lt;=32),"D-30",
AND(I1199=0),"당월",
TRUE,"그외")</f>
        <v>D-60</v>
      </c>
    </row>
    <row r="1200" spans="1:10" ht="17.649999999999999" customHeight="1" x14ac:dyDescent="0.3">
      <c r="A1200" s="4">
        <v>46266</v>
      </c>
      <c r="B1200" s="5" t="s">
        <v>12</v>
      </c>
      <c r="C1200" s="4">
        <v>46204</v>
      </c>
      <c r="D1200" s="5" t="s">
        <v>10</v>
      </c>
      <c r="E1200" s="6">
        <v>193</v>
      </c>
      <c r="F1200" s="6">
        <v>316238.03626943007</v>
      </c>
      <c r="G1200" s="6">
        <v>61033941</v>
      </c>
      <c r="H1200" s="6">
        <v>18438258</v>
      </c>
      <c r="I1200" s="6">
        <f t="shared" si="18"/>
        <v>62</v>
      </c>
      <c r="J1200" t="str" cm="1">
        <f t="array" ref="J1200">_xlfn.IFS(
AND(I1200&gt;=89,I1200&lt;=92),"D-90",
AND(I1200&gt;=58,I1200&lt;=62),"D-60",
AND(I1200&gt;=28,I1200&lt;=32),"D-30",
AND(I1200=0),"당월",
TRUE,"그외")</f>
        <v>D-60</v>
      </c>
    </row>
    <row r="1201" spans="1:10" ht="17.649999999999999" customHeight="1" x14ac:dyDescent="0.3">
      <c r="A1201" s="4">
        <v>46266</v>
      </c>
      <c r="B1201" s="5" t="s">
        <v>12</v>
      </c>
      <c r="C1201" s="4">
        <v>46235</v>
      </c>
      <c r="D1201" s="5" t="s">
        <v>10</v>
      </c>
      <c r="E1201" s="6">
        <v>55</v>
      </c>
      <c r="F1201" s="6">
        <v>238136</v>
      </c>
      <c r="G1201" s="6">
        <v>13097480</v>
      </c>
      <c r="H1201" s="6">
        <v>3650400</v>
      </c>
      <c r="I1201" s="6">
        <f t="shared" si="18"/>
        <v>31</v>
      </c>
      <c r="J1201" t="str" cm="1">
        <f t="array" ref="J1201">_xlfn.IFS(
AND(I1201&gt;=89,I1201&lt;=92),"D-90",
AND(I1201&gt;=58,I1201&lt;=62),"D-60",
AND(I1201&gt;=28,I1201&lt;=32),"D-30",
AND(I1201=0),"당월",
TRUE,"그외")</f>
        <v>D-30</v>
      </c>
    </row>
    <row r="1202" spans="1:10" ht="17.649999999999999" customHeight="1" x14ac:dyDescent="0.3">
      <c r="A1202" s="4">
        <v>46266</v>
      </c>
      <c r="B1202" s="5" t="s">
        <v>13</v>
      </c>
      <c r="C1202" s="4">
        <v>45992</v>
      </c>
      <c r="D1202" s="5" t="s">
        <v>10</v>
      </c>
      <c r="E1202" s="6">
        <v>1</v>
      </c>
      <c r="F1202" s="6">
        <v>591700</v>
      </c>
      <c r="G1202" s="6">
        <v>591700</v>
      </c>
      <c r="H1202" s="6">
        <v>31700</v>
      </c>
      <c r="I1202" s="6">
        <f t="shared" si="18"/>
        <v>274</v>
      </c>
      <c r="J1202" t="str" cm="1">
        <f t="array" ref="J1202">_xlfn.IFS(
AND(I1202&gt;=89,I1202&lt;=92),"D-90",
AND(I1202&gt;=58,I1202&lt;=62),"D-60",
AND(I1202&gt;=28,I1202&lt;=32),"D-30",
AND(I1202=0),"당월",
TRUE,"그외")</f>
        <v>그외</v>
      </c>
    </row>
    <row r="1203" spans="1:10" ht="17.649999999999999" customHeight="1" x14ac:dyDescent="0.3">
      <c r="A1203" s="4">
        <v>46266</v>
      </c>
      <c r="B1203" s="5" t="s">
        <v>13</v>
      </c>
      <c r="C1203" s="4">
        <v>46054</v>
      </c>
      <c r="D1203" s="5" t="s">
        <v>10</v>
      </c>
      <c r="E1203" s="6">
        <v>65</v>
      </c>
      <c r="F1203" s="6">
        <v>495932.30769230769</v>
      </c>
      <c r="G1203" s="6">
        <v>32235600</v>
      </c>
      <c r="H1203" s="6">
        <v>1430000</v>
      </c>
      <c r="I1203" s="6">
        <f t="shared" si="18"/>
        <v>212</v>
      </c>
      <c r="J1203" t="str" cm="1">
        <f t="array" ref="J1203">_xlfn.IFS(
AND(I1203&gt;=89,I1203&lt;=92),"D-90",
AND(I1203&gt;=58,I1203&lt;=62),"D-60",
AND(I1203&gt;=28,I1203&lt;=32),"D-30",
AND(I1203=0),"당월",
TRUE,"그외")</f>
        <v>그외</v>
      </c>
    </row>
    <row r="1204" spans="1:10" ht="17.649999999999999" customHeight="1" x14ac:dyDescent="0.3">
      <c r="A1204" s="4">
        <v>46266</v>
      </c>
      <c r="B1204" s="5" t="s">
        <v>13</v>
      </c>
      <c r="C1204" s="4">
        <v>46082</v>
      </c>
      <c r="D1204" s="5" t="s">
        <v>9</v>
      </c>
      <c r="E1204" s="6">
        <v>18</v>
      </c>
      <c r="F1204" s="6">
        <v>405566.66666666669</v>
      </c>
      <c r="G1204" s="6">
        <v>7300200</v>
      </c>
      <c r="H1204" s="6">
        <v>502200</v>
      </c>
      <c r="I1204" s="6">
        <f t="shared" si="18"/>
        <v>184</v>
      </c>
      <c r="J1204" t="str" cm="1">
        <f t="array" ref="J1204">_xlfn.IFS(
AND(I1204&gt;=89,I1204&lt;=92),"D-90",
AND(I1204&gt;=58,I1204&lt;=62),"D-60",
AND(I1204&gt;=28,I1204&lt;=32),"D-30",
AND(I1204=0),"당월",
TRUE,"그외")</f>
        <v>그외</v>
      </c>
    </row>
    <row r="1205" spans="1:10" ht="17.649999999999999" customHeight="1" x14ac:dyDescent="0.3">
      <c r="A1205" s="4">
        <v>46266</v>
      </c>
      <c r="B1205" s="5" t="s">
        <v>13</v>
      </c>
      <c r="C1205" s="4">
        <v>46082</v>
      </c>
      <c r="D1205" s="5" t="s">
        <v>10</v>
      </c>
      <c r="E1205" s="6">
        <v>30</v>
      </c>
      <c r="F1205" s="6">
        <v>375100</v>
      </c>
      <c r="G1205" s="6">
        <v>11253000</v>
      </c>
      <c r="H1205" s="6">
        <v>837000</v>
      </c>
      <c r="I1205" s="6">
        <f t="shared" si="18"/>
        <v>184</v>
      </c>
      <c r="J1205" t="str" cm="1">
        <f t="array" ref="J1205">_xlfn.IFS(
AND(I1205&gt;=89,I1205&lt;=92),"D-90",
AND(I1205&gt;=58,I1205&lt;=62),"D-60",
AND(I1205&gt;=28,I1205&lt;=32),"D-30",
AND(I1205=0),"당월",
TRUE,"그외")</f>
        <v>그외</v>
      </c>
    </row>
    <row r="1206" spans="1:10" ht="17.649999999999999" customHeight="1" x14ac:dyDescent="0.3">
      <c r="A1206" s="4">
        <v>46266</v>
      </c>
      <c r="B1206" s="5" t="s">
        <v>13</v>
      </c>
      <c r="C1206" s="4">
        <v>46113</v>
      </c>
      <c r="D1206" s="5" t="s">
        <v>9</v>
      </c>
      <c r="E1206" s="6">
        <v>24</v>
      </c>
      <c r="F1206" s="6">
        <v>568900</v>
      </c>
      <c r="G1206" s="6">
        <v>13653600</v>
      </c>
      <c r="H1206" s="6">
        <v>2109600</v>
      </c>
      <c r="I1206" s="6">
        <f t="shared" si="18"/>
        <v>153</v>
      </c>
      <c r="J1206" t="str" cm="1">
        <f t="array" ref="J1206">_xlfn.IFS(
AND(I1206&gt;=89,I1206&lt;=92),"D-90",
AND(I1206&gt;=58,I1206&lt;=62),"D-60",
AND(I1206&gt;=28,I1206&lt;=32),"D-30",
AND(I1206=0),"당월",
TRUE,"그외")</f>
        <v>그외</v>
      </c>
    </row>
    <row r="1207" spans="1:10" ht="17.649999999999999" customHeight="1" x14ac:dyDescent="0.3">
      <c r="A1207" s="4">
        <v>46266</v>
      </c>
      <c r="B1207" s="5" t="s">
        <v>13</v>
      </c>
      <c r="C1207" s="4">
        <v>46143</v>
      </c>
      <c r="D1207" s="5" t="s">
        <v>10</v>
      </c>
      <c r="E1207" s="6">
        <v>4</v>
      </c>
      <c r="F1207" s="6">
        <v>358200</v>
      </c>
      <c r="G1207" s="6">
        <v>1432800</v>
      </c>
      <c r="H1207" s="6">
        <v>672800</v>
      </c>
      <c r="I1207" s="6">
        <f t="shared" si="18"/>
        <v>123</v>
      </c>
      <c r="J1207" t="str" cm="1">
        <f t="array" ref="J1207">_xlfn.IFS(
AND(I1207&gt;=89,I1207&lt;=92),"D-90",
AND(I1207&gt;=58,I1207&lt;=62),"D-60",
AND(I1207&gt;=28,I1207&lt;=32),"D-30",
AND(I1207=0),"당월",
TRUE,"그외")</f>
        <v>그외</v>
      </c>
    </row>
    <row r="1208" spans="1:10" ht="17.649999999999999" customHeight="1" x14ac:dyDescent="0.3">
      <c r="A1208" s="4">
        <v>46266</v>
      </c>
      <c r="B1208" s="5" t="s">
        <v>13</v>
      </c>
      <c r="C1208" s="4">
        <v>46174</v>
      </c>
      <c r="D1208" s="5" t="s">
        <v>10</v>
      </c>
      <c r="E1208" s="6">
        <v>3</v>
      </c>
      <c r="F1208" s="6">
        <v>648033.33333333337</v>
      </c>
      <c r="G1208" s="6">
        <v>1944100</v>
      </c>
      <c r="H1208" s="6">
        <v>404100</v>
      </c>
      <c r="I1208" s="6">
        <f t="shared" si="18"/>
        <v>92</v>
      </c>
      <c r="J1208" t="str" cm="1">
        <f t="array" ref="J1208">_xlfn.IFS(
AND(I1208&gt;=89,I1208&lt;=92),"D-90",
AND(I1208&gt;=58,I1208&lt;=62),"D-60",
AND(I1208&gt;=28,I1208&lt;=32),"D-30",
AND(I1208=0),"당월",
TRUE,"그외")</f>
        <v>D-90</v>
      </c>
    </row>
    <row r="1209" spans="1:10" ht="17.649999999999999" customHeight="1" x14ac:dyDescent="0.3">
      <c r="A1209" s="4">
        <v>46266</v>
      </c>
      <c r="B1209" s="5" t="s">
        <v>13</v>
      </c>
      <c r="C1209" s="4">
        <v>46204</v>
      </c>
      <c r="D1209" s="5" t="s">
        <v>9</v>
      </c>
      <c r="E1209" s="6">
        <v>61</v>
      </c>
      <c r="F1209" s="6">
        <v>138200</v>
      </c>
      <c r="G1209" s="6">
        <v>8430200</v>
      </c>
      <c r="H1209" s="6">
        <v>5929200</v>
      </c>
      <c r="I1209" s="6">
        <f t="shared" si="18"/>
        <v>62</v>
      </c>
      <c r="J1209" t="str" cm="1">
        <f t="array" ref="J1209">_xlfn.IFS(
AND(I1209&gt;=89,I1209&lt;=92),"D-90",
AND(I1209&gt;=58,I1209&lt;=62),"D-60",
AND(I1209&gt;=28,I1209&lt;=32),"D-30",
AND(I1209=0),"당월",
TRUE,"그외")</f>
        <v>D-60</v>
      </c>
    </row>
    <row r="1210" spans="1:10" ht="17.649999999999999" customHeight="1" x14ac:dyDescent="0.3">
      <c r="A1210" s="4">
        <v>46266</v>
      </c>
      <c r="B1210" s="5" t="s">
        <v>13</v>
      </c>
      <c r="C1210" s="4">
        <v>46204</v>
      </c>
      <c r="D1210" s="5" t="s">
        <v>10</v>
      </c>
      <c r="E1210" s="6">
        <v>71</v>
      </c>
      <c r="F1210" s="6">
        <v>323884.05633802823</v>
      </c>
      <c r="G1210" s="6">
        <v>22995768</v>
      </c>
      <c r="H1210" s="6">
        <v>6704816</v>
      </c>
      <c r="I1210" s="6">
        <f t="shared" si="18"/>
        <v>62</v>
      </c>
      <c r="J1210" t="str" cm="1">
        <f t="array" ref="J1210">_xlfn.IFS(
AND(I1210&gt;=89,I1210&lt;=92),"D-90",
AND(I1210&gt;=58,I1210&lt;=62),"D-60",
AND(I1210&gt;=28,I1210&lt;=32),"D-30",
AND(I1210=0),"당월",
TRUE,"그외")</f>
        <v>D-60</v>
      </c>
    </row>
    <row r="1211" spans="1:10" ht="17.649999999999999" customHeight="1" x14ac:dyDescent="0.3">
      <c r="A1211" s="4">
        <v>46266</v>
      </c>
      <c r="B1211" s="5" t="s">
        <v>13</v>
      </c>
      <c r="C1211" s="4">
        <v>46235</v>
      </c>
      <c r="D1211" s="5" t="s">
        <v>10</v>
      </c>
      <c r="E1211" s="6">
        <v>66</v>
      </c>
      <c r="F1211" s="6">
        <v>361627.27272727271</v>
      </c>
      <c r="G1211" s="6">
        <v>23867400</v>
      </c>
      <c r="H1211" s="6">
        <v>4492800</v>
      </c>
      <c r="I1211" s="6">
        <f t="shared" si="18"/>
        <v>31</v>
      </c>
      <c r="J1211" t="str" cm="1">
        <f t="array" ref="J1211">_xlfn.IFS(
AND(I1211&gt;=89,I1211&lt;=92),"D-90",
AND(I1211&gt;=58,I1211&lt;=62),"D-60",
AND(I1211&gt;=28,I1211&lt;=32),"D-30",
AND(I1211=0),"당월",
TRUE,"그외")</f>
        <v>D-30</v>
      </c>
    </row>
    <row r="1212" spans="1:10" ht="17.649999999999999" customHeight="1" x14ac:dyDescent="0.3">
      <c r="A1212" s="4">
        <v>46296</v>
      </c>
      <c r="B1212" s="5" t="s">
        <v>8</v>
      </c>
      <c r="C1212" s="4">
        <v>45931</v>
      </c>
      <c r="D1212" s="5" t="s">
        <v>10</v>
      </c>
      <c r="E1212" s="6">
        <v>17</v>
      </c>
      <c r="F1212" s="6">
        <v>185811.76470588229</v>
      </c>
      <c r="G1212" s="6">
        <v>3158800</v>
      </c>
      <c r="H1212" s="6">
        <v>448800</v>
      </c>
      <c r="I1212" s="6">
        <f t="shared" si="18"/>
        <v>365</v>
      </c>
      <c r="J1212" t="str" cm="1">
        <f t="array" ref="J1212">_xlfn.IFS(
AND(I1212&gt;=89,I1212&lt;=92),"D-90",
AND(I1212&gt;=58,I1212&lt;=62),"D-60",
AND(I1212&gt;=28,I1212&lt;=32),"D-30",
AND(I1212=0),"당월",
TRUE,"그외")</f>
        <v>그외</v>
      </c>
    </row>
    <row r="1213" spans="1:10" ht="17.649999999999999" customHeight="1" x14ac:dyDescent="0.3">
      <c r="A1213" s="4">
        <v>46296</v>
      </c>
      <c r="B1213" s="5" t="s">
        <v>8</v>
      </c>
      <c r="C1213" s="4">
        <v>45962</v>
      </c>
      <c r="D1213" s="5" t="s">
        <v>10</v>
      </c>
      <c r="E1213" s="6">
        <v>2</v>
      </c>
      <c r="F1213" s="6">
        <v>176700</v>
      </c>
      <c r="G1213" s="6">
        <v>353400</v>
      </c>
      <c r="H1213" s="6">
        <v>53400</v>
      </c>
      <c r="I1213" s="6">
        <f t="shared" si="18"/>
        <v>334</v>
      </c>
      <c r="J1213" t="str" cm="1">
        <f t="array" ref="J1213">_xlfn.IFS(
AND(I1213&gt;=89,I1213&lt;=92),"D-90",
AND(I1213&gt;=58,I1213&lt;=62),"D-60",
AND(I1213&gt;=28,I1213&lt;=32),"D-30",
AND(I1213=0),"당월",
TRUE,"그외")</f>
        <v>그외</v>
      </c>
    </row>
    <row r="1214" spans="1:10" ht="17.649999999999999" customHeight="1" x14ac:dyDescent="0.3">
      <c r="A1214" s="4">
        <v>46296</v>
      </c>
      <c r="B1214" s="5" t="s">
        <v>8</v>
      </c>
      <c r="C1214" s="4">
        <v>45992</v>
      </c>
      <c r="D1214" s="5" t="s">
        <v>10</v>
      </c>
      <c r="E1214" s="6">
        <v>12</v>
      </c>
      <c r="F1214" s="6">
        <v>173366.66666666669</v>
      </c>
      <c r="G1214" s="6">
        <v>2080400</v>
      </c>
      <c r="H1214" s="6">
        <v>380400</v>
      </c>
      <c r="I1214" s="6">
        <f t="shared" si="18"/>
        <v>304</v>
      </c>
      <c r="J1214" t="str" cm="1">
        <f t="array" ref="J1214">_xlfn.IFS(
AND(I1214&gt;=89,I1214&lt;=92),"D-90",
AND(I1214&gt;=58,I1214&lt;=62),"D-60",
AND(I1214&gt;=28,I1214&lt;=32),"D-30",
AND(I1214=0),"당월",
TRUE,"그외")</f>
        <v>그외</v>
      </c>
    </row>
    <row r="1215" spans="1:10" ht="17.649999999999999" customHeight="1" x14ac:dyDescent="0.3">
      <c r="A1215" s="4">
        <v>46296</v>
      </c>
      <c r="B1215" s="5" t="s">
        <v>8</v>
      </c>
      <c r="C1215" s="4">
        <v>46023</v>
      </c>
      <c r="D1215" s="5" t="s">
        <v>10</v>
      </c>
      <c r="E1215" s="6">
        <v>134</v>
      </c>
      <c r="F1215" s="6">
        <v>205699.8507462687</v>
      </c>
      <c r="G1215" s="6">
        <v>27563780</v>
      </c>
      <c r="H1215" s="6">
        <v>4328200</v>
      </c>
      <c r="I1215" s="6">
        <f t="shared" si="18"/>
        <v>273</v>
      </c>
      <c r="J1215" t="str" cm="1">
        <f t="array" ref="J1215">_xlfn.IFS(
AND(I1215&gt;=89,I1215&lt;=92),"D-90",
AND(I1215&gt;=58,I1215&lt;=62),"D-60",
AND(I1215&gt;=28,I1215&lt;=32),"D-30",
AND(I1215=0),"당월",
TRUE,"그외")</f>
        <v>그외</v>
      </c>
    </row>
    <row r="1216" spans="1:10" ht="17.649999999999999" customHeight="1" x14ac:dyDescent="0.3">
      <c r="A1216" s="4">
        <v>46296</v>
      </c>
      <c r="B1216" s="5" t="s">
        <v>8</v>
      </c>
      <c r="C1216" s="4">
        <v>46054</v>
      </c>
      <c r="D1216" s="5" t="s">
        <v>10</v>
      </c>
      <c r="E1216" s="6">
        <v>127</v>
      </c>
      <c r="F1216" s="6">
        <v>227681.6535433071</v>
      </c>
      <c r="G1216" s="6">
        <v>28915570</v>
      </c>
      <c r="H1216" s="6">
        <v>2794000</v>
      </c>
      <c r="I1216" s="6">
        <f t="shared" si="18"/>
        <v>242</v>
      </c>
      <c r="J1216" t="str" cm="1">
        <f t="array" ref="J1216">_xlfn.IFS(
AND(I1216&gt;=89,I1216&lt;=92),"D-90",
AND(I1216&gt;=58,I1216&lt;=62),"D-60",
AND(I1216&gt;=28,I1216&lt;=32),"D-30",
AND(I1216=0),"당월",
TRUE,"그외")</f>
        <v>그외</v>
      </c>
    </row>
    <row r="1217" spans="1:10" ht="17.649999999999999" customHeight="1" x14ac:dyDescent="0.3">
      <c r="A1217" s="4">
        <v>46296</v>
      </c>
      <c r="B1217" s="5" t="s">
        <v>8</v>
      </c>
      <c r="C1217" s="4">
        <v>46082</v>
      </c>
      <c r="D1217" s="5" t="s">
        <v>10</v>
      </c>
      <c r="E1217" s="6">
        <v>307</v>
      </c>
      <c r="F1217" s="6">
        <v>214313.24429967429</v>
      </c>
      <c r="G1217" s="6">
        <v>65794166</v>
      </c>
      <c r="H1217" s="6">
        <v>8590885</v>
      </c>
      <c r="I1217" s="6">
        <f t="shared" si="18"/>
        <v>214</v>
      </c>
      <c r="J1217" t="str" cm="1">
        <f t="array" ref="J1217">_xlfn.IFS(
AND(I1217&gt;=89,I1217&lt;=92),"D-90",
AND(I1217&gt;=58,I1217&lt;=62),"D-60",
AND(I1217&gt;=28,I1217&lt;=32),"D-30",
AND(I1217=0),"당월",
TRUE,"그외")</f>
        <v>그외</v>
      </c>
    </row>
    <row r="1218" spans="1:10" ht="17.649999999999999" customHeight="1" x14ac:dyDescent="0.3">
      <c r="A1218" s="4">
        <v>46296</v>
      </c>
      <c r="B1218" s="5" t="s">
        <v>8</v>
      </c>
      <c r="C1218" s="4">
        <v>46113</v>
      </c>
      <c r="D1218" s="5" t="s">
        <v>10</v>
      </c>
      <c r="E1218" s="6">
        <v>20</v>
      </c>
      <c r="F1218" s="6">
        <v>261250</v>
      </c>
      <c r="G1218" s="6">
        <v>5225000</v>
      </c>
      <c r="H1218" s="6">
        <v>1758000</v>
      </c>
      <c r="I1218" s="6">
        <f t="shared" si="18"/>
        <v>183</v>
      </c>
      <c r="J1218" t="str" cm="1">
        <f t="array" ref="J1218">_xlfn.IFS(
AND(I1218&gt;=89,I1218&lt;=92),"D-90",
AND(I1218&gt;=58,I1218&lt;=62),"D-60",
AND(I1218&gt;=28,I1218&lt;=32),"D-30",
AND(I1218=0),"당월",
TRUE,"그외")</f>
        <v>그외</v>
      </c>
    </row>
    <row r="1219" spans="1:10" ht="17.649999999999999" customHeight="1" x14ac:dyDescent="0.3">
      <c r="A1219" s="4">
        <v>46296</v>
      </c>
      <c r="B1219" s="5" t="s">
        <v>8</v>
      </c>
      <c r="C1219" s="4">
        <v>46143</v>
      </c>
      <c r="D1219" s="5" t="s">
        <v>10</v>
      </c>
      <c r="E1219" s="6">
        <v>5</v>
      </c>
      <c r="F1219" s="6">
        <v>383900</v>
      </c>
      <c r="G1219" s="6">
        <v>1919500</v>
      </c>
      <c r="H1219" s="6">
        <v>841000</v>
      </c>
      <c r="I1219" s="6">
        <f t="shared" ref="I1219:I1272" si="19">A1219-C1219</f>
        <v>153</v>
      </c>
      <c r="J1219" t="str" cm="1">
        <f t="array" ref="J1219">_xlfn.IFS(
AND(I1219&gt;=89,I1219&lt;=92),"D-90",
AND(I1219&gt;=58,I1219&lt;=62),"D-60",
AND(I1219&gt;=28,I1219&lt;=32),"D-30",
AND(I1219=0),"당월",
TRUE,"그외")</f>
        <v>그외</v>
      </c>
    </row>
    <row r="1220" spans="1:10" ht="17.649999999999999" customHeight="1" x14ac:dyDescent="0.3">
      <c r="A1220" s="4">
        <v>46296</v>
      </c>
      <c r="B1220" s="5" t="s">
        <v>8</v>
      </c>
      <c r="C1220" s="4">
        <v>46174</v>
      </c>
      <c r="D1220" s="5" t="s">
        <v>10</v>
      </c>
      <c r="E1220" s="6">
        <v>18</v>
      </c>
      <c r="F1220" s="6">
        <v>313930.55555555562</v>
      </c>
      <c r="G1220" s="6">
        <v>5650750</v>
      </c>
      <c r="H1220" s="6">
        <v>2254686</v>
      </c>
      <c r="I1220" s="6">
        <f t="shared" si="19"/>
        <v>122</v>
      </c>
      <c r="J1220" t="str" cm="1">
        <f t="array" ref="J1220">_xlfn.IFS(
AND(I1220&gt;=89,I1220&lt;=92),"D-90",
AND(I1220&gt;=58,I1220&lt;=62),"D-60",
AND(I1220&gt;=28,I1220&lt;=32),"D-30",
AND(I1220=0),"당월",
TRUE,"그외")</f>
        <v>그외</v>
      </c>
    </row>
    <row r="1221" spans="1:10" ht="17.649999999999999" customHeight="1" x14ac:dyDescent="0.3">
      <c r="A1221" s="4">
        <v>46296</v>
      </c>
      <c r="B1221" s="5" t="s">
        <v>8</v>
      </c>
      <c r="C1221" s="4">
        <v>46204</v>
      </c>
      <c r="D1221" s="5" t="s">
        <v>9</v>
      </c>
      <c r="E1221" s="6">
        <v>62</v>
      </c>
      <c r="F1221" s="6">
        <v>230845.16129032261</v>
      </c>
      <c r="G1221" s="6">
        <v>14312400</v>
      </c>
      <c r="H1221" s="6">
        <v>6026400</v>
      </c>
      <c r="I1221" s="6">
        <f t="shared" si="19"/>
        <v>92</v>
      </c>
      <c r="J1221" t="str" cm="1">
        <f t="array" ref="J1221">_xlfn.IFS(
AND(I1221&gt;=89,I1221&lt;=92),"D-90",
AND(I1221&gt;=58,I1221&lt;=62),"D-60",
AND(I1221&gt;=28,I1221&lt;=32),"D-30",
AND(I1221=0),"당월",
TRUE,"그외")</f>
        <v>D-90</v>
      </c>
    </row>
    <row r="1222" spans="1:10" ht="17.649999999999999" customHeight="1" x14ac:dyDescent="0.3">
      <c r="A1222" s="4">
        <v>46296</v>
      </c>
      <c r="B1222" s="5" t="s">
        <v>8</v>
      </c>
      <c r="C1222" s="4">
        <v>46204</v>
      </c>
      <c r="D1222" s="5" t="s">
        <v>10</v>
      </c>
      <c r="E1222" s="6">
        <v>107</v>
      </c>
      <c r="F1222" s="6">
        <v>250309.4018691589</v>
      </c>
      <c r="G1222" s="6">
        <v>26783106</v>
      </c>
      <c r="H1222" s="6">
        <v>8854356</v>
      </c>
      <c r="I1222" s="6">
        <f t="shared" si="19"/>
        <v>92</v>
      </c>
      <c r="J1222" t="str" cm="1">
        <f t="array" ref="J1222">_xlfn.IFS(
AND(I1222&gt;=89,I1222&lt;=92),"D-90",
AND(I1222&gt;=58,I1222&lt;=62),"D-60",
AND(I1222&gt;=28,I1222&lt;=32),"D-30",
AND(I1222=0),"당월",
TRUE,"그외")</f>
        <v>D-90</v>
      </c>
    </row>
    <row r="1223" spans="1:10" ht="17.649999999999999" customHeight="1" x14ac:dyDescent="0.3">
      <c r="A1223" s="4">
        <v>46296</v>
      </c>
      <c r="B1223" s="5" t="s">
        <v>8</v>
      </c>
      <c r="C1223" s="4">
        <v>46235</v>
      </c>
      <c r="D1223" s="5" t="s">
        <v>10</v>
      </c>
      <c r="E1223" s="6">
        <v>22</v>
      </c>
      <c r="F1223" s="6">
        <v>216286.90909090909</v>
      </c>
      <c r="G1223" s="6">
        <v>4758312</v>
      </c>
      <c r="H1223" s="6">
        <v>1544400</v>
      </c>
      <c r="I1223" s="6">
        <f t="shared" si="19"/>
        <v>61</v>
      </c>
      <c r="J1223" t="str" cm="1">
        <f t="array" ref="J1223">_xlfn.IFS(
AND(I1223&gt;=89,I1223&lt;=92),"D-90",
AND(I1223&gt;=58,I1223&lt;=62),"D-60",
AND(I1223&gt;=28,I1223&lt;=32),"D-30",
AND(I1223=0),"당월",
TRUE,"그외")</f>
        <v>D-60</v>
      </c>
    </row>
    <row r="1224" spans="1:10" ht="17.649999999999999" customHeight="1" x14ac:dyDescent="0.3">
      <c r="A1224" s="4">
        <v>46296</v>
      </c>
      <c r="B1224" s="5" t="s">
        <v>11</v>
      </c>
      <c r="C1224" s="4">
        <v>46023</v>
      </c>
      <c r="D1224" s="5" t="s">
        <v>10</v>
      </c>
      <c r="E1224" s="6">
        <v>26</v>
      </c>
      <c r="F1224" s="6">
        <v>92300</v>
      </c>
      <c r="G1224" s="6">
        <v>2399800</v>
      </c>
      <c r="H1224" s="6">
        <v>839800</v>
      </c>
      <c r="I1224" s="6">
        <f t="shared" si="19"/>
        <v>273</v>
      </c>
      <c r="J1224" t="str" cm="1">
        <f t="array" ref="J1224">_xlfn.IFS(
AND(I1224&gt;=89,I1224&lt;=92),"D-90",
AND(I1224&gt;=58,I1224&lt;=62),"D-60",
AND(I1224&gt;=28,I1224&lt;=32),"D-30",
AND(I1224=0),"당월",
TRUE,"그외")</f>
        <v>그외</v>
      </c>
    </row>
    <row r="1225" spans="1:10" ht="17.649999999999999" customHeight="1" x14ac:dyDescent="0.3">
      <c r="A1225" s="4">
        <v>46296</v>
      </c>
      <c r="B1225" s="5" t="s">
        <v>11</v>
      </c>
      <c r="C1225" s="4">
        <v>46054</v>
      </c>
      <c r="D1225" s="5" t="s">
        <v>10</v>
      </c>
      <c r="E1225" s="6">
        <v>32</v>
      </c>
      <c r="F1225" s="6">
        <v>127375</v>
      </c>
      <c r="G1225" s="6">
        <v>4076000</v>
      </c>
      <c r="H1225" s="6">
        <v>704000</v>
      </c>
      <c r="I1225" s="6">
        <f t="shared" si="19"/>
        <v>242</v>
      </c>
      <c r="J1225" t="str" cm="1">
        <f t="array" ref="J1225">_xlfn.IFS(
AND(I1225&gt;=89,I1225&lt;=92),"D-90",
AND(I1225&gt;=58,I1225&lt;=62),"D-60",
AND(I1225&gt;=28,I1225&lt;=32),"D-30",
AND(I1225=0),"당월",
TRUE,"그외")</f>
        <v>그외</v>
      </c>
    </row>
    <row r="1226" spans="1:10" ht="17.649999999999999" customHeight="1" x14ac:dyDescent="0.3">
      <c r="A1226" s="4">
        <v>46296</v>
      </c>
      <c r="B1226" s="5" t="s">
        <v>11</v>
      </c>
      <c r="C1226" s="4">
        <v>46082</v>
      </c>
      <c r="D1226" s="5" t="s">
        <v>10</v>
      </c>
      <c r="E1226" s="6">
        <v>224</v>
      </c>
      <c r="F1226" s="6">
        <v>212448.3928571429</v>
      </c>
      <c r="G1226" s="6">
        <v>47588440</v>
      </c>
      <c r="H1226" s="6">
        <v>6317388</v>
      </c>
      <c r="I1226" s="6">
        <f t="shared" si="19"/>
        <v>214</v>
      </c>
      <c r="J1226" t="str" cm="1">
        <f t="array" ref="J1226">_xlfn.IFS(
AND(I1226&gt;=89,I1226&lt;=92),"D-90",
AND(I1226&gt;=58,I1226&lt;=62),"D-60",
AND(I1226&gt;=28,I1226&lt;=32),"D-30",
AND(I1226=0),"당월",
TRUE,"그외")</f>
        <v>그외</v>
      </c>
    </row>
    <row r="1227" spans="1:10" ht="17.649999999999999" customHeight="1" x14ac:dyDescent="0.3">
      <c r="A1227" s="4">
        <v>46296</v>
      </c>
      <c r="B1227" s="5" t="s">
        <v>11</v>
      </c>
      <c r="C1227" s="4">
        <v>46113</v>
      </c>
      <c r="D1227" s="5" t="s">
        <v>10</v>
      </c>
      <c r="E1227" s="6">
        <v>27</v>
      </c>
      <c r="F1227" s="6">
        <v>215909.2592592593</v>
      </c>
      <c r="G1227" s="6">
        <v>5829550</v>
      </c>
      <c r="H1227" s="6">
        <v>2373300</v>
      </c>
      <c r="I1227" s="6">
        <f t="shared" si="19"/>
        <v>183</v>
      </c>
      <c r="J1227" t="str" cm="1">
        <f t="array" ref="J1227">_xlfn.IFS(
AND(I1227&gt;=89,I1227&lt;=92),"D-90",
AND(I1227&gt;=58,I1227&lt;=62),"D-60",
AND(I1227&gt;=28,I1227&lt;=32),"D-30",
AND(I1227=0),"당월",
TRUE,"그외")</f>
        <v>그외</v>
      </c>
    </row>
    <row r="1228" spans="1:10" ht="17.649999999999999" customHeight="1" x14ac:dyDescent="0.3">
      <c r="A1228" s="4">
        <v>46296</v>
      </c>
      <c r="B1228" s="5" t="s">
        <v>11</v>
      </c>
      <c r="C1228" s="4">
        <v>46143</v>
      </c>
      <c r="D1228" s="5" t="s">
        <v>10</v>
      </c>
      <c r="E1228" s="6">
        <v>8</v>
      </c>
      <c r="F1228" s="6">
        <v>340425</v>
      </c>
      <c r="G1228" s="6">
        <v>2723400</v>
      </c>
      <c r="H1228" s="6">
        <v>1345600</v>
      </c>
      <c r="I1228" s="6">
        <f t="shared" si="19"/>
        <v>153</v>
      </c>
      <c r="J1228" t="str" cm="1">
        <f t="array" ref="J1228">_xlfn.IFS(
AND(I1228&gt;=89,I1228&lt;=92),"D-90",
AND(I1228&gt;=58,I1228&lt;=62),"D-60",
AND(I1228&gt;=28,I1228&lt;=32),"D-30",
AND(I1228=0),"당월",
TRUE,"그외")</f>
        <v>그외</v>
      </c>
    </row>
    <row r="1229" spans="1:10" ht="17.649999999999999" customHeight="1" x14ac:dyDescent="0.3">
      <c r="A1229" s="4">
        <v>46296</v>
      </c>
      <c r="B1229" s="5" t="s">
        <v>11</v>
      </c>
      <c r="C1229" s="4">
        <v>46174</v>
      </c>
      <c r="D1229" s="5" t="s">
        <v>10</v>
      </c>
      <c r="E1229" s="6">
        <v>35</v>
      </c>
      <c r="F1229" s="6">
        <v>350313.25714285712</v>
      </c>
      <c r="G1229" s="6">
        <v>12260964</v>
      </c>
      <c r="H1229" s="6">
        <v>4627548</v>
      </c>
      <c r="I1229" s="6">
        <f t="shared" si="19"/>
        <v>122</v>
      </c>
      <c r="J1229" t="str" cm="1">
        <f t="array" ref="J1229">_xlfn.IFS(
AND(I1229&gt;=89,I1229&lt;=92),"D-90",
AND(I1229&gt;=58,I1229&lt;=62),"D-60",
AND(I1229&gt;=28,I1229&lt;=32),"D-30",
AND(I1229=0),"당월",
TRUE,"그외")</f>
        <v>그외</v>
      </c>
    </row>
    <row r="1230" spans="1:10" ht="17.649999999999999" customHeight="1" x14ac:dyDescent="0.3">
      <c r="A1230" s="4">
        <v>46296</v>
      </c>
      <c r="B1230" s="5" t="s">
        <v>11</v>
      </c>
      <c r="C1230" s="4">
        <v>46204</v>
      </c>
      <c r="D1230" s="5" t="s">
        <v>9</v>
      </c>
      <c r="E1230" s="6">
        <v>20</v>
      </c>
      <c r="F1230" s="6">
        <v>338200</v>
      </c>
      <c r="G1230" s="6">
        <v>6764000</v>
      </c>
      <c r="H1230" s="6">
        <v>1944000</v>
      </c>
      <c r="I1230" s="6">
        <f t="shared" si="19"/>
        <v>92</v>
      </c>
      <c r="J1230" t="str" cm="1">
        <f t="array" ref="J1230">_xlfn.IFS(
AND(I1230&gt;=89,I1230&lt;=92),"D-90",
AND(I1230&gt;=58,I1230&lt;=62),"D-60",
AND(I1230&gt;=28,I1230&lt;=32),"D-30",
AND(I1230=0),"당월",
TRUE,"그외")</f>
        <v>D-90</v>
      </c>
    </row>
    <row r="1231" spans="1:10" ht="17.649999999999999" customHeight="1" x14ac:dyDescent="0.3">
      <c r="A1231" s="4">
        <v>46296</v>
      </c>
      <c r="B1231" s="5" t="s">
        <v>11</v>
      </c>
      <c r="C1231" s="4">
        <v>46204</v>
      </c>
      <c r="D1231" s="5" t="s">
        <v>10</v>
      </c>
      <c r="E1231" s="6">
        <v>172</v>
      </c>
      <c r="F1231" s="6">
        <v>272799.69767441862</v>
      </c>
      <c r="G1231" s="6">
        <v>46921548</v>
      </c>
      <c r="H1231" s="6">
        <v>15761082</v>
      </c>
      <c r="I1231" s="6">
        <f t="shared" si="19"/>
        <v>92</v>
      </c>
      <c r="J1231" t="str" cm="1">
        <f t="array" ref="J1231">_xlfn.IFS(
AND(I1231&gt;=89,I1231&lt;=92),"D-90",
AND(I1231&gt;=58,I1231&lt;=62),"D-60",
AND(I1231&gt;=28,I1231&lt;=32),"D-30",
AND(I1231=0),"당월",
TRUE,"그외")</f>
        <v>D-90</v>
      </c>
    </row>
    <row r="1232" spans="1:10" ht="17.649999999999999" customHeight="1" x14ac:dyDescent="0.3">
      <c r="A1232" s="4">
        <v>46296</v>
      </c>
      <c r="B1232" s="5" t="s">
        <v>11</v>
      </c>
      <c r="C1232" s="4">
        <v>46235</v>
      </c>
      <c r="D1232" s="5" t="s">
        <v>10</v>
      </c>
      <c r="E1232" s="6">
        <v>116</v>
      </c>
      <c r="F1232" s="6">
        <v>237741.60344827591</v>
      </c>
      <c r="G1232" s="6">
        <v>27578026</v>
      </c>
      <c r="H1232" s="6">
        <v>8222532</v>
      </c>
      <c r="I1232" s="6">
        <f t="shared" si="19"/>
        <v>61</v>
      </c>
      <c r="J1232" t="str" cm="1">
        <f t="array" ref="J1232">_xlfn.IFS(
AND(I1232&gt;=89,I1232&lt;=92),"D-90",
AND(I1232&gt;=58,I1232&lt;=62),"D-60",
AND(I1232&gt;=28,I1232&lt;=32),"D-30",
AND(I1232=0),"당월",
TRUE,"그외")</f>
        <v>D-60</v>
      </c>
    </row>
    <row r="1233" spans="1:10" ht="17.649999999999999" customHeight="1" x14ac:dyDescent="0.3">
      <c r="A1233" s="4">
        <v>46296</v>
      </c>
      <c r="B1233" s="5" t="s">
        <v>12</v>
      </c>
      <c r="C1233" s="4">
        <v>46023</v>
      </c>
      <c r="D1233" s="5" t="s">
        <v>10</v>
      </c>
      <c r="E1233" s="6">
        <v>26</v>
      </c>
      <c r="F1233" s="6">
        <v>197007.69230769231</v>
      </c>
      <c r="G1233" s="6">
        <v>5122200</v>
      </c>
      <c r="H1233" s="6">
        <v>839800</v>
      </c>
      <c r="I1233" s="6">
        <f t="shared" si="19"/>
        <v>273</v>
      </c>
      <c r="J1233" t="str" cm="1">
        <f t="array" ref="J1233">_xlfn.IFS(
AND(I1233&gt;=89,I1233&lt;=92),"D-90",
AND(I1233&gt;=58,I1233&lt;=62),"D-60",
AND(I1233&gt;=28,I1233&lt;=32),"D-30",
AND(I1233=0),"당월",
TRUE,"그외")</f>
        <v>그외</v>
      </c>
    </row>
    <row r="1234" spans="1:10" ht="17.649999999999999" customHeight="1" x14ac:dyDescent="0.3">
      <c r="A1234" s="4">
        <v>46296</v>
      </c>
      <c r="B1234" s="5" t="s">
        <v>12</v>
      </c>
      <c r="C1234" s="4">
        <v>46054</v>
      </c>
      <c r="D1234" s="5" t="s">
        <v>10</v>
      </c>
      <c r="E1234" s="6">
        <v>58</v>
      </c>
      <c r="F1234" s="6">
        <v>191617.24137931029</v>
      </c>
      <c r="G1234" s="6">
        <v>11113800</v>
      </c>
      <c r="H1234" s="6">
        <v>1276000</v>
      </c>
      <c r="I1234" s="6">
        <f t="shared" si="19"/>
        <v>242</v>
      </c>
      <c r="J1234" t="str" cm="1">
        <f t="array" ref="J1234">_xlfn.IFS(
AND(I1234&gt;=89,I1234&lt;=92),"D-90",
AND(I1234&gt;=58,I1234&lt;=62),"D-60",
AND(I1234&gt;=28,I1234&lt;=32),"D-30",
AND(I1234=0),"당월",
TRUE,"그외")</f>
        <v>그외</v>
      </c>
    </row>
    <row r="1235" spans="1:10" ht="17.649999999999999" customHeight="1" x14ac:dyDescent="0.3">
      <c r="A1235" s="4">
        <v>46296</v>
      </c>
      <c r="B1235" s="5" t="s">
        <v>12</v>
      </c>
      <c r="C1235" s="4">
        <v>46082</v>
      </c>
      <c r="D1235" s="5" t="s">
        <v>10</v>
      </c>
      <c r="E1235" s="6">
        <v>128</v>
      </c>
      <c r="F1235" s="6">
        <v>227065.390625</v>
      </c>
      <c r="G1235" s="6">
        <v>29064370</v>
      </c>
      <c r="H1235" s="6">
        <v>3571620</v>
      </c>
      <c r="I1235" s="6">
        <f t="shared" si="19"/>
        <v>214</v>
      </c>
      <c r="J1235" t="str" cm="1">
        <f t="array" ref="J1235">_xlfn.IFS(
AND(I1235&gt;=89,I1235&lt;=92),"D-90",
AND(I1235&gt;=58,I1235&lt;=62),"D-60",
AND(I1235&gt;=28,I1235&lt;=32),"D-30",
AND(I1235=0),"당월",
TRUE,"그외")</f>
        <v>그외</v>
      </c>
    </row>
    <row r="1236" spans="1:10" ht="17.649999999999999" customHeight="1" x14ac:dyDescent="0.3">
      <c r="A1236" s="4">
        <v>46296</v>
      </c>
      <c r="B1236" s="5" t="s">
        <v>12</v>
      </c>
      <c r="C1236" s="4">
        <v>46113</v>
      </c>
      <c r="D1236" s="5" t="s">
        <v>10</v>
      </c>
      <c r="E1236" s="6">
        <v>16</v>
      </c>
      <c r="F1236" s="6">
        <v>297306.25</v>
      </c>
      <c r="G1236" s="6">
        <v>4756900</v>
      </c>
      <c r="H1236" s="6">
        <v>1166400</v>
      </c>
      <c r="I1236" s="6">
        <f t="shared" si="19"/>
        <v>183</v>
      </c>
      <c r="J1236" t="str" cm="1">
        <f t="array" ref="J1236">_xlfn.IFS(
AND(I1236&gt;=89,I1236&lt;=92),"D-90",
AND(I1236&gt;=58,I1236&lt;=62),"D-60",
AND(I1236&gt;=28,I1236&lt;=32),"D-30",
AND(I1236=0),"당월",
TRUE,"그외")</f>
        <v>그외</v>
      </c>
    </row>
    <row r="1237" spans="1:10" ht="17.649999999999999" customHeight="1" x14ac:dyDescent="0.3">
      <c r="A1237" s="4">
        <v>46296</v>
      </c>
      <c r="B1237" s="5" t="s">
        <v>12</v>
      </c>
      <c r="C1237" s="4">
        <v>46143</v>
      </c>
      <c r="D1237" s="5" t="s">
        <v>10</v>
      </c>
      <c r="E1237" s="6">
        <v>4</v>
      </c>
      <c r="F1237" s="6">
        <v>384700</v>
      </c>
      <c r="G1237" s="6">
        <v>1538800</v>
      </c>
      <c r="H1237" s="6">
        <v>672800</v>
      </c>
      <c r="I1237" s="6">
        <f t="shared" si="19"/>
        <v>153</v>
      </c>
      <c r="J1237" t="str" cm="1">
        <f t="array" ref="J1237">_xlfn.IFS(
AND(I1237&gt;=89,I1237&lt;=92),"D-90",
AND(I1237&gt;=58,I1237&lt;=62),"D-60",
AND(I1237&gt;=28,I1237&lt;=32),"D-30",
AND(I1237=0),"당월",
TRUE,"그외")</f>
        <v>그외</v>
      </c>
    </row>
    <row r="1238" spans="1:10" ht="17.649999999999999" customHeight="1" x14ac:dyDescent="0.3">
      <c r="A1238" s="4">
        <v>46296</v>
      </c>
      <c r="B1238" s="5" t="s">
        <v>12</v>
      </c>
      <c r="C1238" s="4">
        <v>46174</v>
      </c>
      <c r="D1238" s="5" t="s">
        <v>9</v>
      </c>
      <c r="E1238" s="6">
        <v>7</v>
      </c>
      <c r="F1238" s="6">
        <v>245700</v>
      </c>
      <c r="G1238" s="6">
        <v>1719900</v>
      </c>
      <c r="H1238" s="6">
        <v>942900</v>
      </c>
      <c r="I1238" s="6">
        <f t="shared" si="19"/>
        <v>122</v>
      </c>
      <c r="J1238" t="str" cm="1">
        <f t="array" ref="J1238">_xlfn.IFS(
AND(I1238&gt;=89,I1238&lt;=92),"D-90",
AND(I1238&gt;=58,I1238&lt;=62),"D-60",
AND(I1238&gt;=28,I1238&lt;=32),"D-30",
AND(I1238=0),"당월",
TRUE,"그외")</f>
        <v>그외</v>
      </c>
    </row>
    <row r="1239" spans="1:10" ht="17.649999999999999" customHeight="1" x14ac:dyDescent="0.3">
      <c r="A1239" s="4">
        <v>46296</v>
      </c>
      <c r="B1239" s="5" t="s">
        <v>12</v>
      </c>
      <c r="C1239" s="4">
        <v>46174</v>
      </c>
      <c r="D1239" s="5" t="s">
        <v>10</v>
      </c>
      <c r="E1239" s="6">
        <v>56</v>
      </c>
      <c r="F1239" s="6">
        <v>304965.5</v>
      </c>
      <c r="G1239" s="6">
        <v>17078068</v>
      </c>
      <c r="H1239" s="6">
        <v>7458000</v>
      </c>
      <c r="I1239" s="6">
        <f t="shared" si="19"/>
        <v>122</v>
      </c>
      <c r="J1239" t="str" cm="1">
        <f t="array" ref="J1239">_xlfn.IFS(
AND(I1239&gt;=89,I1239&lt;=92),"D-90",
AND(I1239&gt;=58,I1239&lt;=62),"D-60",
AND(I1239&gt;=28,I1239&lt;=32),"D-30",
AND(I1239=0),"당월",
TRUE,"그외")</f>
        <v>그외</v>
      </c>
    </row>
    <row r="1240" spans="1:10" ht="17.649999999999999" customHeight="1" x14ac:dyDescent="0.3">
      <c r="A1240" s="4">
        <v>46296</v>
      </c>
      <c r="B1240" s="5" t="s">
        <v>12</v>
      </c>
      <c r="C1240" s="4">
        <v>46204</v>
      </c>
      <c r="D1240" s="5" t="s">
        <v>9</v>
      </c>
      <c r="E1240" s="6">
        <v>50</v>
      </c>
      <c r="F1240" s="6">
        <v>300440</v>
      </c>
      <c r="G1240" s="6">
        <v>15022000</v>
      </c>
      <c r="H1240" s="6">
        <v>4860000</v>
      </c>
      <c r="I1240" s="6">
        <f t="shared" si="19"/>
        <v>92</v>
      </c>
      <c r="J1240" t="str" cm="1">
        <f t="array" ref="J1240">_xlfn.IFS(
AND(I1240&gt;=89,I1240&lt;=92),"D-90",
AND(I1240&gt;=58,I1240&lt;=62),"D-60",
AND(I1240&gt;=28,I1240&lt;=32),"D-30",
AND(I1240=0),"당월",
TRUE,"그외")</f>
        <v>D-90</v>
      </c>
    </row>
    <row r="1241" spans="1:10" ht="17.649999999999999" customHeight="1" x14ac:dyDescent="0.3">
      <c r="A1241" s="4">
        <v>46296</v>
      </c>
      <c r="B1241" s="5" t="s">
        <v>12</v>
      </c>
      <c r="C1241" s="4">
        <v>46204</v>
      </c>
      <c r="D1241" s="5" t="s">
        <v>10</v>
      </c>
      <c r="E1241" s="6">
        <v>480</v>
      </c>
      <c r="F1241" s="6">
        <v>244164.84375</v>
      </c>
      <c r="G1241" s="6">
        <v>117199125</v>
      </c>
      <c r="H1241" s="6">
        <v>46281020</v>
      </c>
      <c r="I1241" s="6">
        <f t="shared" si="19"/>
        <v>92</v>
      </c>
      <c r="J1241" t="str" cm="1">
        <f t="array" ref="J1241">_xlfn.IFS(
AND(I1241&gt;=89,I1241&lt;=92),"D-90",
AND(I1241&gt;=58,I1241&lt;=62),"D-60",
AND(I1241&gt;=28,I1241&lt;=32),"D-30",
AND(I1241=0),"당월",
TRUE,"그외")</f>
        <v>D-90</v>
      </c>
    </row>
    <row r="1242" spans="1:10" ht="17.649999999999999" customHeight="1" x14ac:dyDescent="0.3">
      <c r="A1242" s="4">
        <v>46296</v>
      </c>
      <c r="B1242" s="5" t="s">
        <v>12</v>
      </c>
      <c r="C1242" s="4">
        <v>46235</v>
      </c>
      <c r="D1242" s="5" t="s">
        <v>10</v>
      </c>
      <c r="E1242" s="6">
        <v>186</v>
      </c>
      <c r="F1242" s="6">
        <v>199805.21505376339</v>
      </c>
      <c r="G1242" s="6">
        <v>37163770</v>
      </c>
      <c r="H1242" s="6">
        <v>12592800</v>
      </c>
      <c r="I1242" s="6">
        <f t="shared" si="19"/>
        <v>61</v>
      </c>
      <c r="J1242" t="str" cm="1">
        <f t="array" ref="J1242">_xlfn.IFS(
AND(I1242&gt;=89,I1242&lt;=92),"D-90",
AND(I1242&gt;=58,I1242&lt;=62),"D-60",
AND(I1242&gt;=28,I1242&lt;=32),"D-30",
AND(I1242=0),"당월",
TRUE,"그외")</f>
        <v>D-60</v>
      </c>
    </row>
    <row r="1243" spans="1:10" ht="17.649999999999999" customHeight="1" x14ac:dyDescent="0.3">
      <c r="A1243" s="4">
        <v>46296</v>
      </c>
      <c r="B1243" s="5" t="s">
        <v>13</v>
      </c>
      <c r="C1243" s="4">
        <v>46023</v>
      </c>
      <c r="D1243" s="5" t="s">
        <v>10</v>
      </c>
      <c r="E1243" s="6">
        <v>24</v>
      </c>
      <c r="F1243" s="6">
        <v>210133.33333333331</v>
      </c>
      <c r="G1243" s="6">
        <v>5043200</v>
      </c>
      <c r="H1243" s="6">
        <v>775200</v>
      </c>
      <c r="I1243" s="6">
        <f t="shared" si="19"/>
        <v>273</v>
      </c>
      <c r="J1243" t="str" cm="1">
        <f t="array" ref="J1243">_xlfn.IFS(
AND(I1243&gt;=89,I1243&lt;=92),"D-90",
AND(I1243&gt;=58,I1243&lt;=62),"D-60",
AND(I1243&gt;=28,I1243&lt;=32),"D-30",
AND(I1243=0),"당월",
TRUE,"그외")</f>
        <v>그외</v>
      </c>
    </row>
    <row r="1244" spans="1:10" ht="17.649999999999999" customHeight="1" x14ac:dyDescent="0.3">
      <c r="A1244" s="4">
        <v>46296</v>
      </c>
      <c r="B1244" s="5" t="s">
        <v>13</v>
      </c>
      <c r="C1244" s="4">
        <v>46054</v>
      </c>
      <c r="D1244" s="5" t="s">
        <v>10</v>
      </c>
      <c r="E1244" s="6">
        <v>68</v>
      </c>
      <c r="F1244" s="6">
        <v>209498.5294117647</v>
      </c>
      <c r="G1244" s="6">
        <v>14245900</v>
      </c>
      <c r="H1244" s="6">
        <v>1496000</v>
      </c>
      <c r="I1244" s="6">
        <f t="shared" si="19"/>
        <v>242</v>
      </c>
      <c r="J1244" t="str" cm="1">
        <f t="array" ref="J1244">_xlfn.IFS(
AND(I1244&gt;=89,I1244&lt;=92),"D-90",
AND(I1244&gt;=58,I1244&lt;=62),"D-60",
AND(I1244&gt;=28,I1244&lt;=32),"D-30",
AND(I1244=0),"당월",
TRUE,"그외")</f>
        <v>그외</v>
      </c>
    </row>
    <row r="1245" spans="1:10" ht="17.649999999999999" customHeight="1" x14ac:dyDescent="0.3">
      <c r="A1245" s="4">
        <v>46296</v>
      </c>
      <c r="B1245" s="5" t="s">
        <v>13</v>
      </c>
      <c r="C1245" s="4">
        <v>46082</v>
      </c>
      <c r="D1245" s="5" t="s">
        <v>9</v>
      </c>
      <c r="E1245" s="6">
        <v>6</v>
      </c>
      <c r="F1245" s="6">
        <v>198900</v>
      </c>
      <c r="G1245" s="6">
        <v>1193400</v>
      </c>
      <c r="H1245" s="6">
        <v>167400</v>
      </c>
      <c r="I1245" s="6">
        <f t="shared" si="19"/>
        <v>214</v>
      </c>
      <c r="J1245" t="str" cm="1">
        <f t="array" ref="J1245">_xlfn.IFS(
AND(I1245&gt;=89,I1245&lt;=92),"D-90",
AND(I1245&gt;=58,I1245&lt;=62),"D-60",
AND(I1245&gt;=28,I1245&lt;=32),"D-30",
AND(I1245=0),"당월",
TRUE,"그외")</f>
        <v>그외</v>
      </c>
    </row>
    <row r="1246" spans="1:10" ht="17.649999999999999" customHeight="1" x14ac:dyDescent="0.3">
      <c r="A1246" s="4">
        <v>46296</v>
      </c>
      <c r="B1246" s="5" t="s">
        <v>13</v>
      </c>
      <c r="C1246" s="4">
        <v>46082</v>
      </c>
      <c r="D1246" s="5" t="s">
        <v>10</v>
      </c>
      <c r="E1246" s="6">
        <v>139</v>
      </c>
      <c r="F1246" s="6">
        <v>237531.59712230219</v>
      </c>
      <c r="G1246" s="6">
        <v>33016892</v>
      </c>
      <c r="H1246" s="6">
        <v>3900194</v>
      </c>
      <c r="I1246" s="6">
        <f t="shared" si="19"/>
        <v>214</v>
      </c>
      <c r="J1246" t="str" cm="1">
        <f t="array" ref="J1246">_xlfn.IFS(
AND(I1246&gt;=89,I1246&lt;=92),"D-90",
AND(I1246&gt;=58,I1246&lt;=62),"D-60",
AND(I1246&gt;=28,I1246&lt;=32),"D-30",
AND(I1246=0),"당월",
TRUE,"그외")</f>
        <v>그외</v>
      </c>
    </row>
    <row r="1247" spans="1:10" ht="17.649999999999999" customHeight="1" x14ac:dyDescent="0.3">
      <c r="A1247" s="4">
        <v>46296</v>
      </c>
      <c r="B1247" s="5" t="s">
        <v>13</v>
      </c>
      <c r="C1247" s="4">
        <v>46143</v>
      </c>
      <c r="D1247" s="5" t="s">
        <v>10</v>
      </c>
      <c r="E1247" s="6">
        <v>8</v>
      </c>
      <c r="F1247" s="6">
        <v>342450</v>
      </c>
      <c r="G1247" s="6">
        <v>2739600</v>
      </c>
      <c r="H1247" s="6">
        <v>1345600</v>
      </c>
      <c r="I1247" s="6">
        <f t="shared" si="19"/>
        <v>153</v>
      </c>
      <c r="J1247" t="str" cm="1">
        <f t="array" ref="J1247">_xlfn.IFS(
AND(I1247&gt;=89,I1247&lt;=92),"D-90",
AND(I1247&gt;=58,I1247&lt;=62),"D-60",
AND(I1247&gt;=28,I1247&lt;=32),"D-30",
AND(I1247=0),"당월",
TRUE,"그외")</f>
        <v>그외</v>
      </c>
    </row>
    <row r="1248" spans="1:10" ht="17.649999999999999" customHeight="1" x14ac:dyDescent="0.3">
      <c r="A1248" s="4">
        <v>46296</v>
      </c>
      <c r="B1248" s="5" t="s">
        <v>13</v>
      </c>
      <c r="C1248" s="4">
        <v>46174</v>
      </c>
      <c r="D1248" s="5" t="s">
        <v>10</v>
      </c>
      <c r="E1248" s="6">
        <v>10</v>
      </c>
      <c r="F1248" s="6">
        <v>276300</v>
      </c>
      <c r="G1248" s="6">
        <v>2763000</v>
      </c>
      <c r="H1248" s="6">
        <v>1347000</v>
      </c>
      <c r="I1248" s="6">
        <f t="shared" si="19"/>
        <v>122</v>
      </c>
      <c r="J1248" t="str" cm="1">
        <f t="array" ref="J1248">_xlfn.IFS(
AND(I1248&gt;=89,I1248&lt;=92),"D-90",
AND(I1248&gt;=58,I1248&lt;=62),"D-60",
AND(I1248&gt;=28,I1248&lt;=32),"D-30",
AND(I1248=0),"당월",
TRUE,"그외")</f>
        <v>그외</v>
      </c>
    </row>
    <row r="1249" spans="1:10" ht="17.649999999999999" customHeight="1" x14ac:dyDescent="0.3">
      <c r="A1249" s="4">
        <v>46296</v>
      </c>
      <c r="B1249" s="5" t="s">
        <v>13</v>
      </c>
      <c r="C1249" s="4">
        <v>46204</v>
      </c>
      <c r="D1249" s="5" t="s">
        <v>9</v>
      </c>
      <c r="E1249" s="6">
        <v>105</v>
      </c>
      <c r="F1249" s="6">
        <v>172009.52380952379</v>
      </c>
      <c r="G1249" s="6">
        <v>18061000</v>
      </c>
      <c r="H1249" s="6">
        <v>10206000</v>
      </c>
      <c r="I1249" s="6">
        <f t="shared" si="19"/>
        <v>92</v>
      </c>
      <c r="J1249" t="str" cm="1">
        <f t="array" ref="J1249">_xlfn.IFS(
AND(I1249&gt;=89,I1249&lt;=92),"D-90",
AND(I1249&gt;=58,I1249&lt;=62),"D-60",
AND(I1249&gt;=28,I1249&lt;=32),"D-30",
AND(I1249=0),"당월",
TRUE,"그외")</f>
        <v>D-90</v>
      </c>
    </row>
    <row r="1250" spans="1:10" ht="17.649999999999999" customHeight="1" x14ac:dyDescent="0.3">
      <c r="A1250" s="4">
        <v>46296</v>
      </c>
      <c r="B1250" s="5" t="s">
        <v>13</v>
      </c>
      <c r="C1250" s="4">
        <v>46204</v>
      </c>
      <c r="D1250" s="5" t="s">
        <v>10</v>
      </c>
      <c r="E1250" s="6">
        <v>125</v>
      </c>
      <c r="F1250" s="6">
        <v>273746.43199999997</v>
      </c>
      <c r="G1250" s="6">
        <v>34218304</v>
      </c>
      <c r="H1250" s="6">
        <v>11696022</v>
      </c>
      <c r="I1250" s="6">
        <f t="shared" si="19"/>
        <v>92</v>
      </c>
      <c r="J1250" t="str" cm="1">
        <f t="array" ref="J1250">_xlfn.IFS(
AND(I1250&gt;=89,I1250&lt;=92),"D-90",
AND(I1250&gt;=58,I1250&lt;=62),"D-60",
AND(I1250&gt;=28,I1250&lt;=32),"D-30",
AND(I1250=0),"당월",
TRUE,"그외")</f>
        <v>D-90</v>
      </c>
    </row>
    <row r="1251" spans="1:10" ht="17.649999999999999" customHeight="1" x14ac:dyDescent="0.3">
      <c r="A1251" s="4">
        <v>46296</v>
      </c>
      <c r="B1251" s="5" t="s">
        <v>13</v>
      </c>
      <c r="C1251" s="4">
        <v>46235</v>
      </c>
      <c r="D1251" s="5" t="s">
        <v>10</v>
      </c>
      <c r="E1251" s="6">
        <v>91</v>
      </c>
      <c r="F1251" s="6">
        <v>179826.15384615379</v>
      </c>
      <c r="G1251" s="6">
        <v>16364180</v>
      </c>
      <c r="H1251" s="6">
        <v>4493712</v>
      </c>
      <c r="I1251" s="6">
        <f t="shared" si="19"/>
        <v>61</v>
      </c>
      <c r="J1251" t="str" cm="1">
        <f t="array" ref="J1251">_xlfn.IFS(
AND(I1251&gt;=89,I1251&lt;=92),"D-90",
AND(I1251&gt;=58,I1251&lt;=62),"D-60",
AND(I1251&gt;=28,I1251&lt;=32),"D-30",
AND(I1251=0),"당월",
TRUE,"그외")</f>
        <v>D-60</v>
      </c>
    </row>
    <row r="1252" spans="1:10" ht="17.649999999999999" customHeight="1" x14ac:dyDescent="0.3">
      <c r="A1252" s="4">
        <v>46327</v>
      </c>
      <c r="B1252" s="5" t="s">
        <v>8</v>
      </c>
      <c r="C1252" s="4">
        <v>46174</v>
      </c>
      <c r="D1252" s="5" t="s">
        <v>10</v>
      </c>
      <c r="E1252" s="6">
        <v>19</v>
      </c>
      <c r="F1252" s="6">
        <v>259668</v>
      </c>
      <c r="G1252" s="6">
        <v>4933692</v>
      </c>
      <c r="H1252" s="6">
        <v>2472348</v>
      </c>
      <c r="I1252" s="6">
        <f t="shared" si="19"/>
        <v>153</v>
      </c>
      <c r="J1252" t="str" cm="1">
        <f t="array" ref="J1252">_xlfn.IFS(
AND(I1252&gt;=89,I1252&lt;=92),"D-90",
AND(I1252&gt;=58,I1252&lt;=62),"D-60",
AND(I1252&gt;=28,I1252&lt;=32),"D-30",
AND(I1252=0),"당월",
TRUE,"그외")</f>
        <v>그외</v>
      </c>
    </row>
    <row r="1253" spans="1:10" ht="17.649999999999999" customHeight="1" x14ac:dyDescent="0.3">
      <c r="A1253" s="4">
        <v>46327</v>
      </c>
      <c r="B1253" s="5" t="s">
        <v>8</v>
      </c>
      <c r="C1253" s="4">
        <v>46204</v>
      </c>
      <c r="D1253" s="5" t="s">
        <v>10</v>
      </c>
      <c r="E1253" s="6">
        <v>73</v>
      </c>
      <c r="F1253" s="6">
        <v>221928.76712328769</v>
      </c>
      <c r="G1253" s="6">
        <v>16200800</v>
      </c>
      <c r="H1253" s="6">
        <v>7095600</v>
      </c>
      <c r="I1253" s="6">
        <f t="shared" si="19"/>
        <v>123</v>
      </c>
      <c r="J1253" t="str" cm="1">
        <f t="array" ref="J1253">_xlfn.IFS(
AND(I1253&gt;=89,I1253&lt;=92),"D-90",
AND(I1253&gt;=58,I1253&lt;=62),"D-60",
AND(I1253&gt;=28,I1253&lt;=32),"D-30",
AND(I1253=0),"당월",
TRUE,"그외")</f>
        <v>그외</v>
      </c>
    </row>
    <row r="1254" spans="1:10" ht="17.649999999999999" customHeight="1" x14ac:dyDescent="0.3">
      <c r="A1254" s="4">
        <v>46327</v>
      </c>
      <c r="B1254" s="5" t="s">
        <v>8</v>
      </c>
      <c r="C1254" s="4">
        <v>46235</v>
      </c>
      <c r="D1254" s="5" t="s">
        <v>10</v>
      </c>
      <c r="E1254" s="6">
        <v>18</v>
      </c>
      <c r="F1254" s="6">
        <v>168226.83333333331</v>
      </c>
      <c r="G1254" s="6">
        <v>3028083</v>
      </c>
      <c r="H1254" s="6">
        <v>1263600</v>
      </c>
      <c r="I1254" s="6">
        <f t="shared" si="19"/>
        <v>92</v>
      </c>
      <c r="J1254" t="str" cm="1">
        <f t="array" ref="J1254">_xlfn.IFS(
AND(I1254&gt;=89,I1254&lt;=92),"D-90",
AND(I1254&gt;=58,I1254&lt;=62),"D-60",
AND(I1254&gt;=28,I1254&lt;=32),"D-30",
AND(I1254=0),"당월",
TRUE,"그외")</f>
        <v>D-90</v>
      </c>
    </row>
    <row r="1255" spans="1:10" ht="17.649999999999999" customHeight="1" x14ac:dyDescent="0.3">
      <c r="A1255" s="4">
        <v>46327</v>
      </c>
      <c r="B1255" s="5" t="s">
        <v>11</v>
      </c>
      <c r="C1255" s="4">
        <v>46174</v>
      </c>
      <c r="D1255" s="5" t="s">
        <v>10</v>
      </c>
      <c r="E1255" s="6">
        <v>8</v>
      </c>
      <c r="F1255" s="6">
        <v>253700</v>
      </c>
      <c r="G1255" s="6">
        <v>2029600</v>
      </c>
      <c r="H1255" s="6">
        <v>1077600</v>
      </c>
      <c r="I1255" s="6">
        <f t="shared" si="19"/>
        <v>153</v>
      </c>
      <c r="J1255" t="str" cm="1">
        <f t="array" ref="J1255">_xlfn.IFS(
AND(I1255&gt;=89,I1255&lt;=92),"D-90",
AND(I1255&gt;=58,I1255&lt;=62),"D-60",
AND(I1255&gt;=28,I1255&lt;=32),"D-30",
AND(I1255=0),"당월",
TRUE,"그외")</f>
        <v>그외</v>
      </c>
    </row>
    <row r="1256" spans="1:10" ht="17.649999999999999" customHeight="1" x14ac:dyDescent="0.3">
      <c r="A1256" s="4">
        <v>46327</v>
      </c>
      <c r="B1256" s="5" t="s">
        <v>11</v>
      </c>
      <c r="C1256" s="4">
        <v>46204</v>
      </c>
      <c r="D1256" s="5" t="s">
        <v>10</v>
      </c>
      <c r="E1256" s="6">
        <v>14</v>
      </c>
      <c r="F1256" s="6">
        <v>228914.28571428571</v>
      </c>
      <c r="G1256" s="6">
        <v>3204800</v>
      </c>
      <c r="H1256" s="6">
        <v>1360800</v>
      </c>
      <c r="I1256" s="6">
        <f t="shared" si="19"/>
        <v>123</v>
      </c>
      <c r="J1256" t="str" cm="1">
        <f t="array" ref="J1256">_xlfn.IFS(
AND(I1256&gt;=89,I1256&lt;=92),"D-90",
AND(I1256&gt;=58,I1256&lt;=62),"D-60",
AND(I1256&gt;=28,I1256&lt;=32),"D-30",
AND(I1256=0),"당월",
TRUE,"그외")</f>
        <v>그외</v>
      </c>
    </row>
    <row r="1257" spans="1:10" ht="17.649999999999999" customHeight="1" x14ac:dyDescent="0.3">
      <c r="A1257" s="4">
        <v>46327</v>
      </c>
      <c r="B1257" s="5" t="s">
        <v>11</v>
      </c>
      <c r="C1257" s="4">
        <v>46235</v>
      </c>
      <c r="D1257" s="5" t="s">
        <v>10</v>
      </c>
      <c r="E1257" s="6">
        <v>6</v>
      </c>
      <c r="F1257" s="6">
        <v>211200</v>
      </c>
      <c r="G1257" s="6">
        <v>1267200</v>
      </c>
      <c r="H1257" s="6">
        <v>421200</v>
      </c>
      <c r="I1257" s="6">
        <f t="shared" si="19"/>
        <v>92</v>
      </c>
      <c r="J1257" t="str" cm="1">
        <f t="array" ref="J1257">_xlfn.IFS(
AND(I1257&gt;=89,I1257&lt;=92),"D-90",
AND(I1257&gt;=58,I1257&lt;=62),"D-60",
AND(I1257&gt;=28,I1257&lt;=32),"D-30",
AND(I1257=0),"당월",
TRUE,"그외")</f>
        <v>D-90</v>
      </c>
    </row>
    <row r="1258" spans="1:10" ht="17.649999999999999" customHeight="1" x14ac:dyDescent="0.3">
      <c r="A1258" s="4">
        <v>46327</v>
      </c>
      <c r="B1258" s="5" t="s">
        <v>12</v>
      </c>
      <c r="C1258" s="4">
        <v>46204</v>
      </c>
      <c r="D1258" s="5" t="s">
        <v>10</v>
      </c>
      <c r="E1258" s="6">
        <v>51</v>
      </c>
      <c r="F1258" s="6">
        <v>237396.07843137259</v>
      </c>
      <c r="G1258" s="6">
        <v>12107200</v>
      </c>
      <c r="H1258" s="6">
        <v>4957200</v>
      </c>
      <c r="I1258" s="6">
        <f t="shared" si="19"/>
        <v>123</v>
      </c>
      <c r="J1258" t="str" cm="1">
        <f t="array" ref="J1258">_xlfn.IFS(
AND(I1258&gt;=89,I1258&lt;=92),"D-90",
AND(I1258&gt;=58,I1258&lt;=62),"D-60",
AND(I1258&gt;=28,I1258&lt;=32),"D-30",
AND(I1258=0),"당월",
TRUE,"그외")</f>
        <v>그외</v>
      </c>
    </row>
    <row r="1259" spans="1:10" ht="17.649999999999999" customHeight="1" x14ac:dyDescent="0.3">
      <c r="A1259" s="4">
        <v>46327</v>
      </c>
      <c r="B1259" s="5" t="s">
        <v>12</v>
      </c>
      <c r="C1259" s="4">
        <v>46235</v>
      </c>
      <c r="D1259" s="5" t="s">
        <v>10</v>
      </c>
      <c r="E1259" s="6">
        <v>17</v>
      </c>
      <c r="F1259" s="6">
        <v>217370.4705882353</v>
      </c>
      <c r="G1259" s="6">
        <v>3695298</v>
      </c>
      <c r="H1259" s="6">
        <v>1209216</v>
      </c>
      <c r="I1259" s="6">
        <f t="shared" si="19"/>
        <v>92</v>
      </c>
      <c r="J1259" t="str" cm="1">
        <f t="array" ref="J1259">_xlfn.IFS(
AND(I1259&gt;=89,I1259&lt;=92),"D-90",
AND(I1259&gt;=58,I1259&lt;=62),"D-60",
AND(I1259&gt;=28,I1259&lt;=32),"D-30",
AND(I1259=0),"당월",
TRUE,"그외")</f>
        <v>D-90</v>
      </c>
    </row>
    <row r="1260" spans="1:10" ht="17.649999999999999" customHeight="1" x14ac:dyDescent="0.3">
      <c r="A1260" s="4">
        <v>46327</v>
      </c>
      <c r="B1260" s="5" t="s">
        <v>13</v>
      </c>
      <c r="C1260" s="4">
        <v>46204</v>
      </c>
      <c r="D1260" s="5" t="s">
        <v>10</v>
      </c>
      <c r="E1260" s="6">
        <v>26</v>
      </c>
      <c r="F1260" s="6">
        <v>240783.26923076919</v>
      </c>
      <c r="G1260" s="6">
        <v>6260365</v>
      </c>
      <c r="H1260" s="6">
        <v>2522382</v>
      </c>
      <c r="I1260" s="6">
        <f t="shared" si="19"/>
        <v>123</v>
      </c>
      <c r="J1260" t="str" cm="1">
        <f t="array" ref="J1260">_xlfn.IFS(
AND(I1260&gt;=89,I1260&lt;=92),"D-90",
AND(I1260&gt;=58,I1260&lt;=62),"D-60",
AND(I1260&gt;=28,I1260&lt;=32),"D-30",
AND(I1260=0),"당월",
TRUE,"그외")</f>
        <v>그외</v>
      </c>
    </row>
    <row r="1261" spans="1:10" ht="17.649999999999999" customHeight="1" x14ac:dyDescent="0.3">
      <c r="A1261" s="4">
        <v>46327</v>
      </c>
      <c r="B1261" s="5" t="s">
        <v>13</v>
      </c>
      <c r="C1261" s="4">
        <v>46235</v>
      </c>
      <c r="D1261" s="5" t="s">
        <v>10</v>
      </c>
      <c r="E1261" s="6">
        <v>12</v>
      </c>
      <c r="F1261" s="6">
        <v>197266.66666666669</v>
      </c>
      <c r="G1261" s="6">
        <v>2367200</v>
      </c>
      <c r="H1261" s="6">
        <v>842400</v>
      </c>
      <c r="I1261" s="6">
        <f t="shared" si="19"/>
        <v>92</v>
      </c>
      <c r="J1261" t="str" cm="1">
        <f t="array" ref="J1261">_xlfn.IFS(
AND(I1261&gt;=89,I1261&lt;=92),"D-90",
AND(I1261&gt;=58,I1261&lt;=62),"D-60",
AND(I1261&gt;=28,I1261&lt;=32),"D-30",
AND(I1261=0),"당월",
TRUE,"그외")</f>
        <v>D-90</v>
      </c>
    </row>
    <row r="1262" spans="1:10" ht="17.649999999999999" customHeight="1" x14ac:dyDescent="0.3">
      <c r="A1262" s="4">
        <v>46357</v>
      </c>
      <c r="B1262" s="5" t="s">
        <v>8</v>
      </c>
      <c r="C1262" s="4">
        <v>46174</v>
      </c>
      <c r="D1262" s="5" t="s">
        <v>10</v>
      </c>
      <c r="E1262" s="6">
        <v>58</v>
      </c>
      <c r="F1262" s="6">
        <v>315112.1724137931</v>
      </c>
      <c r="G1262" s="6">
        <v>18276506</v>
      </c>
      <c r="H1262" s="6">
        <v>7812600</v>
      </c>
      <c r="I1262" s="6">
        <f t="shared" si="19"/>
        <v>183</v>
      </c>
      <c r="J1262" t="str" cm="1">
        <f t="array" ref="J1262">_xlfn.IFS(
AND(I1262&gt;=89,I1262&lt;=92),"D-90",
AND(I1262&gt;=58,I1262&lt;=62),"D-60",
AND(I1262&gt;=28,I1262&lt;=32),"D-30",
AND(I1262=0),"당월",
TRUE,"그외")</f>
        <v>그외</v>
      </c>
    </row>
    <row r="1263" spans="1:10" ht="17.649999999999999" customHeight="1" x14ac:dyDescent="0.3">
      <c r="A1263" s="4">
        <v>46357</v>
      </c>
      <c r="B1263" s="5" t="s">
        <v>8</v>
      </c>
      <c r="C1263" s="4">
        <v>46204</v>
      </c>
      <c r="D1263" s="5" t="s">
        <v>10</v>
      </c>
      <c r="E1263" s="6">
        <v>423</v>
      </c>
      <c r="F1263" s="6">
        <v>277756.83451536641</v>
      </c>
      <c r="G1263" s="6">
        <v>117491141</v>
      </c>
      <c r="H1263" s="6">
        <v>41056032</v>
      </c>
      <c r="I1263" s="6">
        <f t="shared" si="19"/>
        <v>153</v>
      </c>
      <c r="J1263" t="str" cm="1">
        <f t="array" ref="J1263">_xlfn.IFS(
AND(I1263&gt;=89,I1263&lt;=92),"D-90",
AND(I1263&gt;=58,I1263&lt;=62),"D-60",
AND(I1263&gt;=28,I1263&lt;=32),"D-30",
AND(I1263=0),"당월",
TRUE,"그외")</f>
        <v>그외</v>
      </c>
    </row>
    <row r="1264" spans="1:10" ht="17.649999999999999" customHeight="1" x14ac:dyDescent="0.3">
      <c r="A1264" s="4">
        <v>46357</v>
      </c>
      <c r="B1264" s="5" t="s">
        <v>8</v>
      </c>
      <c r="C1264" s="4">
        <v>46235</v>
      </c>
      <c r="D1264" s="5" t="s">
        <v>10</v>
      </c>
      <c r="E1264" s="6">
        <v>162</v>
      </c>
      <c r="F1264" s="6">
        <v>253014.19753086421</v>
      </c>
      <c r="G1264" s="6">
        <v>40988300</v>
      </c>
      <c r="H1264" s="6">
        <v>11232000</v>
      </c>
      <c r="I1264" s="6">
        <f t="shared" si="19"/>
        <v>122</v>
      </c>
      <c r="J1264" t="str" cm="1">
        <f t="array" ref="J1264">_xlfn.IFS(
AND(I1264&gt;=89,I1264&lt;=92),"D-90",
AND(I1264&gt;=58,I1264&lt;=62),"D-60",
AND(I1264&gt;=28,I1264&lt;=32),"D-30",
AND(I1264=0),"당월",
TRUE,"그외")</f>
        <v>그외</v>
      </c>
    </row>
    <row r="1265" spans="1:10" ht="17.649999999999999" customHeight="1" x14ac:dyDescent="0.3">
      <c r="A1265" s="4">
        <v>46357</v>
      </c>
      <c r="B1265" s="5" t="s">
        <v>11</v>
      </c>
      <c r="C1265" s="4">
        <v>46174</v>
      </c>
      <c r="D1265" s="5" t="s">
        <v>10</v>
      </c>
      <c r="E1265" s="6">
        <v>72</v>
      </c>
      <c r="F1265" s="6">
        <v>296142.77777777781</v>
      </c>
      <c r="G1265" s="6">
        <v>21322280</v>
      </c>
      <c r="H1265" s="6">
        <v>9698400</v>
      </c>
      <c r="I1265" s="6">
        <f t="shared" si="19"/>
        <v>183</v>
      </c>
      <c r="J1265" t="str" cm="1">
        <f t="array" ref="J1265">_xlfn.IFS(
AND(I1265&gt;=89,I1265&lt;=92),"D-90",
AND(I1265&gt;=58,I1265&lt;=62),"D-60",
AND(I1265&gt;=28,I1265&lt;=32),"D-30",
AND(I1265=0),"당월",
TRUE,"그외")</f>
        <v>그외</v>
      </c>
    </row>
    <row r="1266" spans="1:10" ht="17.649999999999999" customHeight="1" x14ac:dyDescent="0.3">
      <c r="A1266" s="4">
        <v>46357</v>
      </c>
      <c r="B1266" s="5" t="s">
        <v>11</v>
      </c>
      <c r="C1266" s="4">
        <v>46204</v>
      </c>
      <c r="D1266" s="5" t="s">
        <v>10</v>
      </c>
      <c r="E1266" s="6">
        <v>68</v>
      </c>
      <c r="F1266" s="6">
        <v>274188.67647058831</v>
      </c>
      <c r="G1266" s="6">
        <v>18644830</v>
      </c>
      <c r="H1266" s="6">
        <v>6609600</v>
      </c>
      <c r="I1266" s="6">
        <f t="shared" si="19"/>
        <v>153</v>
      </c>
      <c r="J1266" t="str" cm="1">
        <f t="array" ref="J1266">_xlfn.IFS(
AND(I1266&gt;=89,I1266&lt;=92),"D-90",
AND(I1266&gt;=58,I1266&lt;=62),"D-60",
AND(I1266&gt;=28,I1266&lt;=32),"D-30",
AND(I1266=0),"당월",
TRUE,"그외")</f>
        <v>그외</v>
      </c>
    </row>
    <row r="1267" spans="1:10" ht="17.649999999999999" customHeight="1" x14ac:dyDescent="0.3">
      <c r="A1267" s="4">
        <v>46357</v>
      </c>
      <c r="B1267" s="5" t="s">
        <v>11</v>
      </c>
      <c r="C1267" s="4">
        <v>46235</v>
      </c>
      <c r="D1267" s="5" t="s">
        <v>10</v>
      </c>
      <c r="E1267" s="6">
        <v>7</v>
      </c>
      <c r="F1267" s="6">
        <v>242830.28571428571</v>
      </c>
      <c r="G1267" s="6">
        <v>1699812</v>
      </c>
      <c r="H1267" s="6">
        <v>526956</v>
      </c>
      <c r="I1267" s="6">
        <f t="shared" si="19"/>
        <v>122</v>
      </c>
      <c r="J1267" t="str" cm="1">
        <f t="array" ref="J1267">_xlfn.IFS(
AND(I1267&gt;=89,I1267&lt;=92),"D-90",
AND(I1267&gt;=58,I1267&lt;=62),"D-60",
AND(I1267&gt;=28,I1267&lt;=32),"D-30",
AND(I1267=0),"당월",
TRUE,"그외")</f>
        <v>그외</v>
      </c>
    </row>
    <row r="1268" spans="1:10" ht="17.649999999999999" customHeight="1" x14ac:dyDescent="0.3">
      <c r="A1268" s="4">
        <v>46357</v>
      </c>
      <c r="B1268" s="5" t="s">
        <v>12</v>
      </c>
      <c r="C1268" s="4">
        <v>46204</v>
      </c>
      <c r="D1268" s="5" t="s">
        <v>10</v>
      </c>
      <c r="E1268" s="6">
        <v>148</v>
      </c>
      <c r="F1268" s="6">
        <v>312990.94594594592</v>
      </c>
      <c r="G1268" s="6">
        <v>46322660</v>
      </c>
      <c r="H1268" s="6">
        <v>14385600</v>
      </c>
      <c r="I1268" s="6">
        <f t="shared" si="19"/>
        <v>153</v>
      </c>
      <c r="J1268" t="str" cm="1">
        <f t="array" ref="J1268">_xlfn.IFS(
AND(I1268&gt;=89,I1268&lt;=92),"D-90",
AND(I1268&gt;=58,I1268&lt;=62),"D-60",
AND(I1268&gt;=28,I1268&lt;=32),"D-30",
AND(I1268=0),"당월",
TRUE,"그외")</f>
        <v>그외</v>
      </c>
    </row>
    <row r="1269" spans="1:10" ht="17.649999999999999" customHeight="1" x14ac:dyDescent="0.3">
      <c r="A1269" s="4">
        <v>46357</v>
      </c>
      <c r="B1269" s="5" t="s">
        <v>12</v>
      </c>
      <c r="C1269" s="4">
        <v>46235</v>
      </c>
      <c r="D1269" s="5" t="s">
        <v>10</v>
      </c>
      <c r="E1269" s="6">
        <v>48</v>
      </c>
      <c r="F1269" s="6">
        <v>284299.95833333331</v>
      </c>
      <c r="G1269" s="6">
        <v>13646398</v>
      </c>
      <c r="H1269" s="6">
        <v>3405156</v>
      </c>
      <c r="I1269" s="6">
        <f t="shared" si="19"/>
        <v>122</v>
      </c>
      <c r="J1269" t="str" cm="1">
        <f t="array" ref="J1269">_xlfn.IFS(
AND(I1269&gt;=89,I1269&lt;=92),"D-90",
AND(I1269&gt;=58,I1269&lt;=62),"D-60",
AND(I1269&gt;=28,I1269&lt;=32),"D-30",
AND(I1269=0),"당월",
TRUE,"그외")</f>
        <v>그외</v>
      </c>
    </row>
    <row r="1270" spans="1:10" ht="17.649999999999999" customHeight="1" x14ac:dyDescent="0.3">
      <c r="A1270" s="4">
        <v>46357</v>
      </c>
      <c r="B1270" s="5" t="s">
        <v>13</v>
      </c>
      <c r="C1270" s="4">
        <v>46174</v>
      </c>
      <c r="D1270" s="5" t="s">
        <v>10</v>
      </c>
      <c r="E1270" s="6">
        <v>2</v>
      </c>
      <c r="F1270" s="6">
        <v>416800</v>
      </c>
      <c r="G1270" s="6">
        <v>833600</v>
      </c>
      <c r="H1270" s="6">
        <v>269400</v>
      </c>
      <c r="I1270" s="6">
        <f t="shared" si="19"/>
        <v>183</v>
      </c>
      <c r="J1270" t="str" cm="1">
        <f t="array" ref="J1270">_xlfn.IFS(
AND(I1270&gt;=89,I1270&lt;=92),"D-90",
AND(I1270&gt;=58,I1270&lt;=62),"D-60",
AND(I1270&gt;=28,I1270&lt;=32),"D-30",
AND(I1270=0),"당월",
TRUE,"그외")</f>
        <v>그외</v>
      </c>
    </row>
    <row r="1271" spans="1:10" ht="17.649999999999999" customHeight="1" x14ac:dyDescent="0.3">
      <c r="A1271" s="4">
        <v>46357</v>
      </c>
      <c r="B1271" s="5" t="s">
        <v>13</v>
      </c>
      <c r="C1271" s="4">
        <v>46204</v>
      </c>
      <c r="D1271" s="5" t="s">
        <v>10</v>
      </c>
      <c r="E1271" s="6">
        <v>40</v>
      </c>
      <c r="F1271" s="6">
        <v>300629.90000000002</v>
      </c>
      <c r="G1271" s="6">
        <v>12025196</v>
      </c>
      <c r="H1271" s="6">
        <v>3927786</v>
      </c>
      <c r="I1271" s="6">
        <f t="shared" si="19"/>
        <v>153</v>
      </c>
      <c r="J1271" t="str" cm="1">
        <f t="array" ref="J1271">_xlfn.IFS(
AND(I1271&gt;=89,I1271&lt;=92),"D-90",
AND(I1271&gt;=58,I1271&lt;=62),"D-60",
AND(I1271&gt;=28,I1271&lt;=32),"D-30",
AND(I1271=0),"당월",
TRUE,"그외")</f>
        <v>그외</v>
      </c>
    </row>
    <row r="1272" spans="1:10" ht="17.649999999999999" customHeight="1" x14ac:dyDescent="0.3">
      <c r="A1272" s="4">
        <v>46357</v>
      </c>
      <c r="B1272" s="5" t="s">
        <v>13</v>
      </c>
      <c r="C1272" s="4">
        <v>46235</v>
      </c>
      <c r="D1272" s="5" t="s">
        <v>10</v>
      </c>
      <c r="E1272" s="6">
        <v>30</v>
      </c>
      <c r="F1272" s="6">
        <v>248523.33333333331</v>
      </c>
      <c r="G1272" s="6">
        <v>7455700</v>
      </c>
      <c r="H1272" s="6">
        <v>2173188</v>
      </c>
      <c r="I1272" s="6">
        <f t="shared" si="19"/>
        <v>122</v>
      </c>
      <c r="J1272" t="str" cm="1">
        <f t="array" ref="J1272">_xlfn.IFS(
AND(I1272&gt;=89,I1272&lt;=92),"D-90",
AND(I1272&gt;=58,I1272&lt;=62),"D-60",
AND(I1272&gt;=28,I1272&lt;=32),"D-30",
AND(I1272=0),"당월",
TRUE,"그외")</f>
        <v>그외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trinityairways</dc:creator>
  <cp:lastModifiedBy>trinityairways</cp:lastModifiedBy>
  <dcterms:created xsi:type="dcterms:W3CDTF">2026-08-06T12:55:17Z</dcterms:created>
  <dcterms:modified xsi:type="dcterms:W3CDTF">2026-08-06T04:00:40Z</dcterms:modified>
</cp:coreProperties>
</file>